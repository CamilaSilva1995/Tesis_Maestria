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silva\AppData\Local\Temp\claude\C--Users-csilva-OneDrive---universidadean-edu-co-Documentos-Cami-AVEs-Ingenier-a-de-Prompting-y-Agentes-Aut-nomos\3c4e1439-cdda-456d-bfb8-32ae058d2a65\scratchpad\"/>
    </mc:Choice>
  </mc:AlternateContent>
  <xr:revisionPtr revIDLastSave="0" documentId="13_ncr:1_{68B4A507-F485-4F9A-A4FE-534716A7BD6B}" xr6:coauthVersionLast="47" xr6:coauthVersionMax="47" xr10:uidLastSave="{00000000-0000-0000-0000-000000000000}"/>
  <bookViews>
    <workbookView xWindow="-110" yWindow="-110" windowWidth="19420" windowHeight="11500" xr2:uid="{00000000-000D-0000-FFFF-FFFF00000000}"/>
  </bookViews>
  <sheets>
    <sheet name="Instrucciones" sheetId="1" r:id="rId1"/>
    <sheet name="Encuesta PRE" sheetId="2" r:id="rId2"/>
    <sheet name="Encuesta POST" sheetId="3" r:id="rId3"/>
    <sheet name="Clave" sheetId="4" r:id="rId4"/>
    <sheet name="Respuestas PRE" sheetId="5" r:id="rId5"/>
    <sheet name="Respuestas POST" sheetId="6" r:id="rId6"/>
    <sheet name="Resultado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2" i="7" l="1"/>
  <c r="C62" i="7"/>
  <c r="D61" i="7"/>
  <c r="C61" i="7"/>
  <c r="D60" i="7"/>
  <c r="C60" i="7"/>
  <c r="D59" i="7"/>
  <c r="C59" i="7"/>
  <c r="D58" i="7"/>
  <c r="C58" i="7"/>
  <c r="D57" i="7"/>
  <c r="C57" i="7"/>
  <c r="D56" i="7"/>
  <c r="C56" i="7"/>
  <c r="D55" i="7"/>
  <c r="C55" i="7"/>
  <c r="D54" i="7"/>
  <c r="C54" i="7"/>
  <c r="D53" i="7"/>
  <c r="C53" i="7"/>
  <c r="D49" i="7"/>
  <c r="C49" i="7"/>
  <c r="D48" i="7"/>
  <c r="C48" i="7"/>
  <c r="D47" i="7"/>
  <c r="C47" i="7"/>
  <c r="E47" i="7" s="1"/>
  <c r="D46" i="7"/>
  <c r="E46" i="7" s="1"/>
  <c r="C46" i="7"/>
  <c r="D45" i="7"/>
  <c r="C45" i="7"/>
  <c r="E45" i="7" s="1"/>
  <c r="D44" i="7"/>
  <c r="C44" i="7"/>
  <c r="E44" i="7" s="1"/>
  <c r="D43" i="7"/>
  <c r="C43" i="7"/>
  <c r="E43" i="7" s="1"/>
  <c r="D42" i="7"/>
  <c r="E42" i="7" s="1"/>
  <c r="C42" i="7"/>
  <c r="C38" i="7"/>
  <c r="B38" i="7"/>
  <c r="A38" i="7"/>
  <c r="C37" i="7"/>
  <c r="B37" i="7"/>
  <c r="A37" i="7"/>
  <c r="C36" i="7"/>
  <c r="B36" i="7"/>
  <c r="A36" i="7"/>
  <c r="C35" i="7"/>
  <c r="B35" i="7"/>
  <c r="A35" i="7"/>
  <c r="C34" i="7"/>
  <c r="B34" i="7"/>
  <c r="A34" i="7"/>
  <c r="C33" i="7"/>
  <c r="B33" i="7"/>
  <c r="A33" i="7"/>
  <c r="C32" i="7"/>
  <c r="B32" i="7"/>
  <c r="A32" i="7"/>
  <c r="C31" i="7"/>
  <c r="B31" i="7"/>
  <c r="A31" i="7"/>
  <c r="C30" i="7"/>
  <c r="B30" i="7"/>
  <c r="A30" i="7"/>
  <c r="C29" i="7"/>
  <c r="B29" i="7"/>
  <c r="A29" i="7"/>
  <c r="C28" i="7"/>
  <c r="B28" i="7"/>
  <c r="A28" i="7"/>
  <c r="C27" i="7"/>
  <c r="B27" i="7"/>
  <c r="A27" i="7"/>
  <c r="C6" i="7"/>
  <c r="F37" i="7" s="1"/>
  <c r="C5" i="7"/>
  <c r="AK66" i="6"/>
  <c r="AI66" i="6"/>
  <c r="AK65" i="6"/>
  <c r="AI65" i="6"/>
  <c r="AK64" i="6"/>
  <c r="AI64" i="6"/>
  <c r="AL64" i="6" s="1"/>
  <c r="AK63" i="6"/>
  <c r="AI63" i="6"/>
  <c r="AK62" i="6"/>
  <c r="AI62" i="6"/>
  <c r="AK61" i="6"/>
  <c r="AI61" i="6"/>
  <c r="AK60" i="6"/>
  <c r="AI60" i="6"/>
  <c r="AL60" i="6" s="1"/>
  <c r="AK59" i="6"/>
  <c r="AI59" i="6"/>
  <c r="AK58" i="6"/>
  <c r="AI58" i="6"/>
  <c r="AK57" i="6"/>
  <c r="AI57" i="6"/>
  <c r="AK56" i="6"/>
  <c r="AI56" i="6"/>
  <c r="AL56" i="6" s="1"/>
  <c r="AK55" i="6"/>
  <c r="AI55" i="6"/>
  <c r="AK54" i="6"/>
  <c r="AJ54" i="6"/>
  <c r="AI54" i="6"/>
  <c r="AL54" i="6" s="1"/>
  <c r="AK53" i="6"/>
  <c r="AI53" i="6"/>
  <c r="AK52" i="6"/>
  <c r="AI52" i="6"/>
  <c r="AK51" i="6"/>
  <c r="AI51" i="6"/>
  <c r="AK50" i="6"/>
  <c r="AI50" i="6"/>
  <c r="AK49" i="6"/>
  <c r="AI49" i="6"/>
  <c r="AK48" i="6"/>
  <c r="AI48" i="6"/>
  <c r="AK47" i="6"/>
  <c r="AI47" i="6"/>
  <c r="AK46" i="6"/>
  <c r="AI46" i="6"/>
  <c r="AK45" i="6"/>
  <c r="AI45" i="6"/>
  <c r="AK44" i="6"/>
  <c r="AI44" i="6"/>
  <c r="AK43" i="6"/>
  <c r="AI43" i="6"/>
  <c r="AK42" i="6"/>
  <c r="AI42" i="6"/>
  <c r="AL42" i="6" s="1"/>
  <c r="AK41" i="6"/>
  <c r="AI41" i="6"/>
  <c r="AK40" i="6"/>
  <c r="AI40" i="6"/>
  <c r="AL40" i="6" s="1"/>
  <c r="AK39" i="6"/>
  <c r="AI39" i="6"/>
  <c r="AL39" i="6" s="1"/>
  <c r="AK38" i="6"/>
  <c r="AI38" i="6"/>
  <c r="AL38" i="6" s="1"/>
  <c r="AK37" i="6"/>
  <c r="AI37" i="6"/>
  <c r="AK36" i="6"/>
  <c r="AI36" i="6"/>
  <c r="AL36" i="6" s="1"/>
  <c r="AK35" i="6"/>
  <c r="AI35" i="6"/>
  <c r="AL35" i="6" s="1"/>
  <c r="AK34" i="6"/>
  <c r="AI34" i="6"/>
  <c r="AL34" i="6" s="1"/>
  <c r="AK33" i="6"/>
  <c r="AI33" i="6"/>
  <c r="AL33" i="6" s="1"/>
  <c r="AK32" i="6"/>
  <c r="AI32" i="6"/>
  <c r="AL32" i="6" s="1"/>
  <c r="AK31" i="6"/>
  <c r="AI31" i="6"/>
  <c r="AL31" i="6" s="1"/>
  <c r="AK30" i="6"/>
  <c r="AJ30" i="6"/>
  <c r="AI30" i="6"/>
  <c r="AL30" i="6" s="1"/>
  <c r="AK29" i="6"/>
  <c r="AI29" i="6"/>
  <c r="AL29" i="6" s="1"/>
  <c r="AK28" i="6"/>
  <c r="AI28" i="6"/>
  <c r="AL28" i="6" s="1"/>
  <c r="AK27" i="6"/>
  <c r="AI27" i="6"/>
  <c r="AL27" i="6" s="1"/>
  <c r="AK26" i="6"/>
  <c r="AI26" i="6"/>
  <c r="AL26" i="6" s="1"/>
  <c r="AK25" i="6"/>
  <c r="AI25" i="6"/>
  <c r="AL25" i="6" s="1"/>
  <c r="AK24" i="6"/>
  <c r="AI24" i="6"/>
  <c r="AL24" i="6" s="1"/>
  <c r="AK23" i="6"/>
  <c r="AI23" i="6"/>
  <c r="AL23" i="6" s="1"/>
  <c r="AK22" i="6"/>
  <c r="AJ22" i="6"/>
  <c r="AI22" i="6"/>
  <c r="AK21" i="6"/>
  <c r="AI21" i="6"/>
  <c r="AJ21" i="6" s="1"/>
  <c r="AK20" i="6"/>
  <c r="AI20" i="6"/>
  <c r="AL20" i="6" s="1"/>
  <c r="AK19" i="6"/>
  <c r="AI19" i="6"/>
  <c r="AL19" i="6" s="1"/>
  <c r="AK18" i="6"/>
  <c r="AI18" i="6"/>
  <c r="AL18" i="6" s="1"/>
  <c r="AK17" i="6"/>
  <c r="AI17" i="6"/>
  <c r="AL17" i="6" s="1"/>
  <c r="AK16" i="6"/>
  <c r="AI16" i="6"/>
  <c r="AL16" i="6" s="1"/>
  <c r="AK15" i="6"/>
  <c r="AI15" i="6"/>
  <c r="AL15" i="6" s="1"/>
  <c r="AK14" i="6"/>
  <c r="AJ14" i="6"/>
  <c r="AI14" i="6"/>
  <c r="AK13" i="6"/>
  <c r="AI13" i="6"/>
  <c r="AL13" i="6" s="1"/>
  <c r="AK12" i="6"/>
  <c r="AI12" i="6"/>
  <c r="AL12" i="6" s="1"/>
  <c r="AK11" i="6"/>
  <c r="AI11" i="6"/>
  <c r="AL11" i="6" s="1"/>
  <c r="AK10" i="6"/>
  <c r="AI10" i="6"/>
  <c r="AL10" i="6" s="1"/>
  <c r="AK9" i="6"/>
  <c r="AI9" i="6"/>
  <c r="AL9" i="6" s="1"/>
  <c r="AK8" i="6"/>
  <c r="AI8" i="6"/>
  <c r="AL8" i="6" s="1"/>
  <c r="AK7" i="6"/>
  <c r="AI7" i="6"/>
  <c r="AL7" i="6" s="1"/>
  <c r="K4" i="6"/>
  <c r="U3" i="6"/>
  <c r="T3" i="6"/>
  <c r="S3" i="6"/>
  <c r="R3" i="6"/>
  <c r="Q3" i="6"/>
  <c r="P3" i="6"/>
  <c r="O3" i="6"/>
  <c r="N3" i="6"/>
  <c r="M3" i="6"/>
  <c r="L3" i="6"/>
  <c r="K3" i="6"/>
  <c r="J3" i="6"/>
  <c r="Z66" i="5"/>
  <c r="AA66" i="5" s="1"/>
  <c r="Z65" i="5"/>
  <c r="AA65" i="5" s="1"/>
  <c r="Z64" i="5"/>
  <c r="AA64" i="5" s="1"/>
  <c r="Z63" i="5"/>
  <c r="AA63" i="5" s="1"/>
  <c r="Z62" i="5"/>
  <c r="AA62" i="5" s="1"/>
  <c r="Z61" i="5"/>
  <c r="AA61" i="5" s="1"/>
  <c r="Z60" i="5"/>
  <c r="AA60" i="5" s="1"/>
  <c r="AA59" i="5"/>
  <c r="Z59" i="5"/>
  <c r="Z58" i="5"/>
  <c r="AA58" i="5" s="1"/>
  <c r="Z57" i="5"/>
  <c r="AA57" i="5" s="1"/>
  <c r="Z56" i="5"/>
  <c r="AA56" i="5" s="1"/>
  <c r="Z55" i="5"/>
  <c r="AA55" i="5" s="1"/>
  <c r="Z54" i="5"/>
  <c r="AA54" i="5" s="1"/>
  <c r="Z53" i="5"/>
  <c r="AA53" i="5" s="1"/>
  <c r="AA52" i="5"/>
  <c r="Z52" i="5"/>
  <c r="Z51" i="5"/>
  <c r="AA51" i="5" s="1"/>
  <c r="Z50" i="5"/>
  <c r="AA50" i="5" s="1"/>
  <c r="Z49" i="5"/>
  <c r="AA49" i="5" s="1"/>
  <c r="Z48" i="5"/>
  <c r="AA48" i="5" s="1"/>
  <c r="Z47" i="5"/>
  <c r="AA47" i="5" s="1"/>
  <c r="Z46" i="5"/>
  <c r="AA46" i="5" s="1"/>
  <c r="Z45" i="5"/>
  <c r="AA45" i="5" s="1"/>
  <c r="Z44" i="5"/>
  <c r="AA44" i="5" s="1"/>
  <c r="Z43" i="5"/>
  <c r="AA43" i="5" s="1"/>
  <c r="Z42" i="5"/>
  <c r="AA42" i="5" s="1"/>
  <c r="Z41" i="5"/>
  <c r="AA41" i="5" s="1"/>
  <c r="AA40" i="5"/>
  <c r="Z40" i="5"/>
  <c r="AA39" i="5"/>
  <c r="Z39" i="5"/>
  <c r="Z38" i="5"/>
  <c r="AA38" i="5" s="1"/>
  <c r="Z37" i="5"/>
  <c r="AA37" i="5" s="1"/>
  <c r="AA36" i="5"/>
  <c r="Z36" i="5"/>
  <c r="Z35" i="5"/>
  <c r="AA35" i="5" s="1"/>
  <c r="Z34" i="5"/>
  <c r="AA34" i="5" s="1"/>
  <c r="Z33" i="5"/>
  <c r="AA33" i="5" s="1"/>
  <c r="Z32" i="5"/>
  <c r="AA32" i="5" s="1"/>
  <c r="Z31" i="5"/>
  <c r="AA31" i="5" s="1"/>
  <c r="Z30" i="5"/>
  <c r="AA30" i="5" s="1"/>
  <c r="Z29" i="5"/>
  <c r="AA29" i="5" s="1"/>
  <c r="AA28" i="5"/>
  <c r="Z28" i="5"/>
  <c r="AA27" i="5"/>
  <c r="Z27" i="5"/>
  <c r="Z26" i="5"/>
  <c r="AA26" i="5" s="1"/>
  <c r="Z25" i="5"/>
  <c r="AA25" i="5" s="1"/>
  <c r="Z24" i="5"/>
  <c r="AA24" i="5" s="1"/>
  <c r="Z23" i="5"/>
  <c r="AA23" i="5" s="1"/>
  <c r="Z22" i="5"/>
  <c r="AA22" i="5" s="1"/>
  <c r="Z21" i="5"/>
  <c r="AA21" i="5" s="1"/>
  <c r="Z20" i="5"/>
  <c r="AA20" i="5" s="1"/>
  <c r="Z19" i="5"/>
  <c r="AA19" i="5" s="1"/>
  <c r="Z18" i="5"/>
  <c r="AA18" i="5" s="1"/>
  <c r="Z17" i="5"/>
  <c r="AA17" i="5" s="1"/>
  <c r="Z16" i="5"/>
  <c r="AA16" i="5" s="1"/>
  <c r="Z15" i="5"/>
  <c r="AA15" i="5" s="1"/>
  <c r="Z14" i="5"/>
  <c r="AA14" i="5" s="1"/>
  <c r="Z13" i="5"/>
  <c r="AA13" i="5" s="1"/>
  <c r="Z12" i="5"/>
  <c r="AA12" i="5" s="1"/>
  <c r="Z11" i="5"/>
  <c r="AA11" i="5" s="1"/>
  <c r="Z10" i="5"/>
  <c r="AA10" i="5" s="1"/>
  <c r="Z9" i="5"/>
  <c r="Z8" i="5"/>
  <c r="AA8" i="5" s="1"/>
  <c r="Z7" i="5"/>
  <c r="AA7" i="5" s="1"/>
  <c r="W4" i="5"/>
  <c r="U4" i="5"/>
  <c r="O4" i="5"/>
  <c r="Y3" i="5"/>
  <c r="X3" i="5"/>
  <c r="W3" i="5"/>
  <c r="V3" i="5"/>
  <c r="U3" i="5"/>
  <c r="T3" i="5"/>
  <c r="S3" i="5"/>
  <c r="R3" i="5"/>
  <c r="Q3" i="5"/>
  <c r="P3" i="5"/>
  <c r="O3" i="5"/>
  <c r="N3" i="5"/>
  <c r="G17" i="4"/>
  <c r="Y4" i="5" s="1"/>
  <c r="G16" i="4"/>
  <c r="T4" i="6" s="1"/>
  <c r="G15" i="4"/>
  <c r="D36" i="7" s="1"/>
  <c r="G14" i="4"/>
  <c r="G13" i="4"/>
  <c r="G12" i="4"/>
  <c r="P4" i="6" s="1"/>
  <c r="G11" i="4"/>
  <c r="S4" i="5" s="1"/>
  <c r="G10" i="4"/>
  <c r="N4" i="6" s="1"/>
  <c r="G9" i="4"/>
  <c r="M4" i="6" s="1"/>
  <c r="G8" i="4"/>
  <c r="L4" i="6" s="1"/>
  <c r="G7" i="4"/>
  <c r="D28" i="7" s="1"/>
  <c r="G6" i="4"/>
  <c r="J4" i="6" s="1"/>
  <c r="X4" i="5" l="1"/>
  <c r="T4" i="5"/>
  <c r="C11" i="7"/>
  <c r="S4" i="6"/>
  <c r="AL14" i="6"/>
  <c r="AL58" i="6"/>
  <c r="AL62" i="6"/>
  <c r="AL66" i="6"/>
  <c r="E48" i="7"/>
  <c r="C7" i="7"/>
  <c r="AL22" i="6"/>
  <c r="AJ29" i="6"/>
  <c r="AJ40" i="6"/>
  <c r="AL44" i="6"/>
  <c r="AL48" i="6"/>
  <c r="AL52" i="6"/>
  <c r="I32" i="7"/>
  <c r="I36" i="7"/>
  <c r="E49" i="7"/>
  <c r="F28" i="7"/>
  <c r="AJ56" i="6"/>
  <c r="I28" i="7"/>
  <c r="O4" i="6"/>
  <c r="AJ13" i="6"/>
  <c r="AL46" i="6"/>
  <c r="AL50" i="6"/>
  <c r="F31" i="7"/>
  <c r="D33" i="7"/>
  <c r="F35" i="7"/>
  <c r="D37" i="7"/>
  <c r="AL21" i="6"/>
  <c r="F27" i="7"/>
  <c r="I33" i="7"/>
  <c r="AL51" i="6"/>
  <c r="AJ51" i="6"/>
  <c r="E38" i="7"/>
  <c r="H35" i="7"/>
  <c r="E30" i="7"/>
  <c r="H27" i="7"/>
  <c r="E37" i="7"/>
  <c r="G37" i="7" s="1"/>
  <c r="H34" i="7"/>
  <c r="E35" i="7"/>
  <c r="H32" i="7"/>
  <c r="E27" i="7"/>
  <c r="E34" i="7"/>
  <c r="G34" i="7" s="1"/>
  <c r="H31" i="7"/>
  <c r="H38" i="7"/>
  <c r="E33" i="7"/>
  <c r="H30" i="7"/>
  <c r="H36" i="7"/>
  <c r="E31" i="7"/>
  <c r="G31" i="7" s="1"/>
  <c r="H28" i="7"/>
  <c r="AA9" i="5"/>
  <c r="AJ17" i="6"/>
  <c r="AJ64" i="6"/>
  <c r="D34" i="7"/>
  <c r="Q4" i="6"/>
  <c r="AJ12" i="6"/>
  <c r="AJ20" i="6"/>
  <c r="AJ28" i="6"/>
  <c r="AJ36" i="6"/>
  <c r="AJ39" i="6"/>
  <c r="AJ42" i="6"/>
  <c r="AL55" i="6"/>
  <c r="AJ55" i="6"/>
  <c r="AJ58" i="6"/>
  <c r="H33" i="7"/>
  <c r="N4" i="5"/>
  <c r="D27" i="7"/>
  <c r="V4" i="5"/>
  <c r="D35" i="7"/>
  <c r="AJ7" i="6"/>
  <c r="AJ15" i="6"/>
  <c r="AJ23" i="6"/>
  <c r="AJ31" i="6"/>
  <c r="AL49" i="6"/>
  <c r="AJ49" i="6"/>
  <c r="AJ52" i="6"/>
  <c r="AL65" i="6"/>
  <c r="AJ65" i="6"/>
  <c r="C12" i="7"/>
  <c r="D30" i="7"/>
  <c r="AJ10" i="6"/>
  <c r="AJ18" i="6"/>
  <c r="AJ26" i="6"/>
  <c r="AJ34" i="6"/>
  <c r="AL37" i="6"/>
  <c r="AJ37" i="6"/>
  <c r="AL43" i="6"/>
  <c r="AJ43" i="6"/>
  <c r="AJ46" i="6"/>
  <c r="AL59" i="6"/>
  <c r="AJ59" i="6"/>
  <c r="AJ62" i="6"/>
  <c r="E32" i="7"/>
  <c r="AJ33" i="6"/>
  <c r="AJ9" i="6"/>
  <c r="AJ25" i="6"/>
  <c r="AL45" i="6"/>
  <c r="AJ45" i="6"/>
  <c r="AJ48" i="6"/>
  <c r="AL61" i="6"/>
  <c r="AJ61" i="6"/>
  <c r="P4" i="5"/>
  <c r="AL53" i="6"/>
  <c r="AJ53" i="6"/>
  <c r="D29" i="7"/>
  <c r="H37" i="7"/>
  <c r="D38" i="7"/>
  <c r="U4" i="6"/>
  <c r="Q4" i="5"/>
  <c r="R4" i="6"/>
  <c r="AJ8" i="6"/>
  <c r="AJ16" i="6"/>
  <c r="AJ24" i="6"/>
  <c r="AJ32" i="6"/>
  <c r="AL47" i="6"/>
  <c r="AJ47" i="6"/>
  <c r="AJ50" i="6"/>
  <c r="AL63" i="6"/>
  <c r="AJ63" i="6"/>
  <c r="AJ66" i="6"/>
  <c r="E29" i="7"/>
  <c r="D31" i="7"/>
  <c r="R4" i="5"/>
  <c r="G19" i="4"/>
  <c r="C10" i="7" s="1"/>
  <c r="C13" i="7" s="1"/>
  <c r="AJ11" i="6"/>
  <c r="AJ19" i="6"/>
  <c r="AJ27" i="6"/>
  <c r="AJ35" i="6"/>
  <c r="AJ38" i="6"/>
  <c r="AL41" i="6"/>
  <c r="AJ41" i="6"/>
  <c r="AJ44" i="6"/>
  <c r="AL57" i="6"/>
  <c r="AJ57" i="6"/>
  <c r="AJ60" i="6"/>
  <c r="E28" i="7"/>
  <c r="G28" i="7" s="1"/>
  <c r="H29" i="7"/>
  <c r="E36" i="7"/>
  <c r="G36" i="7" s="1"/>
  <c r="I27" i="7"/>
  <c r="F30" i="7"/>
  <c r="D32" i="7"/>
  <c r="I35" i="7"/>
  <c r="F38" i="7"/>
  <c r="I29" i="7"/>
  <c r="F32" i="7"/>
  <c r="I37" i="7"/>
  <c r="I30" i="7"/>
  <c r="F33" i="7"/>
  <c r="I38" i="7"/>
  <c r="I31" i="7"/>
  <c r="F34" i="7"/>
  <c r="F36" i="7"/>
  <c r="F29" i="7"/>
  <c r="I34" i="7"/>
  <c r="G30" i="7" l="1"/>
  <c r="Z6" i="5"/>
  <c r="G27" i="7"/>
  <c r="C21" i="7"/>
  <c r="C23" i="7"/>
  <c r="G29" i="7"/>
  <c r="G35" i="7"/>
  <c r="C14" i="7"/>
  <c r="C16" i="7" s="1"/>
  <c r="C17" i="7" s="1"/>
  <c r="C20" i="7"/>
  <c r="G32" i="7"/>
  <c r="AK6" i="6"/>
  <c r="AA6" i="5"/>
  <c r="C22" i="7"/>
  <c r="G38" i="7"/>
  <c r="AI6" i="6"/>
  <c r="G33" i="7"/>
  <c r="C15" i="7" l="1"/>
  <c r="AL6" i="6"/>
  <c r="AJ6" i="6"/>
</calcChain>
</file>

<file path=xl/sharedStrings.xml><?xml version="1.0" encoding="utf-8"?>
<sst xmlns="http://schemas.openxmlformats.org/spreadsheetml/2006/main" count="535" uniqueCount="258">
  <si>
    <t>Encuesta pre y post del taller práctico: pruebas de hipótesis con datos metagenómicos</t>
  </si>
  <si>
    <t>Para qué sirve</t>
  </si>
  <si>
    <t>Medir cuánto sabían los estudiantes sobre el tema antes del taller (PRE) y cuánto saben después (POST), qué tan capaces se sienten y cómo valoran el taller. La parte de conocimiento es idéntica en las dos aplicaciones, para poder comparar.</t>
  </si>
  <si>
    <t>Cuándo se aplica</t>
  </si>
  <si>
    <t>PRE: justo antes de empezar el taller. POST: al terminar, o en la sesión siguiente. Cada una toma unos 10 minutos.</t>
  </si>
  <si>
    <t>Cómo se aplica</t>
  </si>
  <si>
    <t>Las hojas «Encuesta PRE» y «Encuesta POST» tienen el texto listo para imprimir o para copiar a un formulario en línea. También pueden responderse directamente en Excel, escribiendo en las celdas amarillas.</t>
  </si>
  <si>
    <t>Código anónimo</t>
  </si>
  <si>
    <t>Cada estudiante usa el mismo código en las dos encuestas para poder emparejarlas sin identificarlo: las dos primeras letras de su primer nombre, los dos últimos dígitos de su documento y su día de nacimiento con dos cifras. Ejemplo: Camila, documento terminado en 47, nacida un día 12: CA4712.</t>
  </si>
  <si>
    <t>Dónde se registran las respuestas</t>
  </si>
  <si>
    <t>En «Respuestas PRE» y «Respuestas POST», una fila por estudiante, desde la fila 7. Hay espacio para 60 estudiantes. Las preguntas de conocimiento se registran con la letra elegida (A, B, C, D, o E si marcó «No lo sé»); las escalas, con un número de 1 a 5.</t>
  </si>
  <si>
    <t>Qué celdas se llenan</t>
  </si>
  <si>
    <t>Solo las de fondo amarillo claro. La fila gris de cada hoja de respuestas es un ejemplo y no entra en los cálculos. Las celdas blancas tienen fórmulas: no hay que escribir en ellas.</t>
  </si>
  <si>
    <t>Taller completo o taller rápido</t>
  </si>
  <si>
    <t>En la hoja «Clave», celda B3, se elige qué taller se dictó. Con «Rápido» dejan de contarse los cuatro ítems de conocimiento que el taller rápido no cubre (C8 a C11), y los puntajes se calculan sobre los ocho restantes.</t>
  </si>
  <si>
    <t>Cómo se califica</t>
  </si>
  <si>
    <t>Un punto por cada respuesta correcta en los ítems que se cuentan. «No lo sé» y las respuestas en blanco valen cero. En las hojas de respuestas, las correctas se pintan de verde.</t>
  </si>
  <si>
    <t>Dónde se ven los resultados</t>
  </si>
  <si>
    <t>En la hoja «Resultados»: participación, puntaje promedio antes y después, resultados por ítem con su gráfica, autopercepción antes y después, y valoración del taller. Todo se actualiza solo al registrar respuestas.</t>
  </si>
  <si>
    <t>Ganancia normalizada</t>
  </si>
  <si>
    <t>Es la fracción de lo que se podía mejorar que efectivamente se mejoró: (% POST − % PRE) / (100 % − % PRE). Se interpreta como baja si es menor que 0.3, media entre 0.3 y 0.7, y alta desde 0.7. Fuente: Hake, R. R. (1998). Interactive-engagement versus traditional methods. American Journal of Physics, 66(1), 64–74. https://doi.org/10.1119/1.18809</t>
  </si>
  <si>
    <t>Supuestos de este libro</t>
  </si>
  <si>
    <t>Los 12 ítems de conocimiento, sus claves y las escalas de 1 a 5 fueron escritos para este taller y no han sido validados con estudiantes: conviene revisarlos antes de la primera aplicación. Con pocos estudiantes, los porcentajes por ítem cambian mucho con una sola respuesta.</t>
  </si>
  <si>
    <t>Si hay más de 60 estudiantes</t>
  </si>
  <si>
    <t>Inserta filas dentro del bloque amarillo (no al final) y copia hacia abajo las fórmulas de las columnas blancas; así los rangos de «Resultados» se amplían solos.</t>
  </si>
  <si>
    <t>Leyenda de colores</t>
  </si>
  <si>
    <t>Celda para llenar</t>
  </si>
  <si>
    <t>Fila de ejemplo: no se cuenta</t>
  </si>
  <si>
    <t>Respuesta correcta (se pinta sola)</t>
  </si>
  <si>
    <t>Encabezado o rótulo</t>
  </si>
  <si>
    <t>Encuesta PRE: taller práctico de pruebas de hipótesis con datos metagenómicos</t>
  </si>
  <si>
    <t>Esta encuesta se responde antes del taller. Es anónima, no tiene nota y toma unos 10 minutos. Sirve para mejorar el taller: responde con sinceridad y, si no sabes una respuesta, no adivines.</t>
  </si>
  <si>
    <t>Código</t>
  </si>
  <si>
    <t>Tu código anónimo: dos primeras letras de tu primer nombre + dos últimos dígitos de tu documento + tu día de nacimiento con dos cifras (ejemplo: CA4712). Usa el mismo en las dos encuestas.</t>
  </si>
  <si>
    <t>A. Sobre ti</t>
  </si>
  <si>
    <t>A1</t>
  </si>
  <si>
    <t>Programa o área de estudio</t>
  </si>
  <si>
    <t>A2</t>
  </si>
  <si>
    <t>Experiencia previa programando en Python (1 = ninguna … 5 = mucha)</t>
  </si>
  <si>
    <t>A3</t>
  </si>
  <si>
    <t>Experiencia previa con estadística (pruebas de hipótesis) (1 = ninguna … 5 = mucha)</t>
  </si>
  <si>
    <t>A4</t>
  </si>
  <si>
    <t>Experiencia previa con datos de microbioma o metagenómica (1 = ninguna … 5 = mucha)</t>
  </si>
  <si>
    <t>B. ¿Qué tan capaz te sientes de…?   (1 = nada capaz, 2 = poco, 3 = algo, 4 = bastante, 5 = totalmente capaz)</t>
  </si>
  <si>
    <t>B1</t>
  </si>
  <si>
    <t>Explicar qué afirma una hipótesis nula.</t>
  </si>
  <si>
    <t>B2</t>
  </si>
  <si>
    <t>Explicar qué significa un valor p.</t>
  </si>
  <si>
    <t>B3</t>
  </si>
  <si>
    <t>Comprobar los supuestos de una prueba (normalidad, igualdad de varianzas).</t>
  </si>
  <si>
    <t>B4</t>
  </si>
  <si>
    <t>Elegir entre la t de Student, la t de Welch y Mann-Whitney.</t>
  </si>
  <si>
    <t>B5</t>
  </si>
  <si>
    <t>Distinguir una prueba para grupos independientes de una para datos pareados.</t>
  </si>
  <si>
    <t>B6</t>
  </si>
  <si>
    <t>Comparar la abundancia de un taxón entre dos grupos de muestras.</t>
  </si>
  <si>
    <t>B7</t>
  </si>
  <si>
    <t>Interpretar un PERMANOVA junto con un PERMDISP.</t>
  </si>
  <si>
    <t>B8</t>
  </si>
  <si>
    <t>Reportar el resultado de una prueba: estadístico, tamaño del efecto y valor p.</t>
  </si>
  <si>
    <t>C. Conocimiento del tema   (elige una sola opción; si no sabes, marca E: no adivines)</t>
  </si>
  <si>
    <t>C1</t>
  </si>
  <si>
    <t>Se compara la diversidad microbiana de plantas saludables y no saludables. ¿Qué afirma la hipótesis nula?</t>
  </si>
  <si>
    <t>A)  Que las plantas saludables tienen mayor diversidad.</t>
  </si>
  <si>
    <t>B)  Que el estado de la planta no importa: los dos grupos tienen la misma diversidad.</t>
  </si>
  <si>
    <t>C)  Que la diferencia observada entre los grupos es grande.</t>
  </si>
  <si>
    <t>D)  Que los datos siguen una distribución normal.</t>
  </si>
  <si>
    <t>E)  No lo sé.</t>
  </si>
  <si>
    <t>C2</t>
  </si>
  <si>
    <t>Una prueba da p = 0.03. ¿Qué significa?</t>
  </si>
  <si>
    <t>A)  Hay 3 % de probabilidad de que la hipótesis nula sea cierta.</t>
  </si>
  <si>
    <t>B)  Hay 97 % de probabilidad de que la diferencia sea real.</t>
  </si>
  <si>
    <t>C)  Si la hipótesis nula fuera cierta, un resultado así de extremo o más aparecería el 3 % de las veces.</t>
  </si>
  <si>
    <t>D)  La diferencia entre los grupos es del 3 %.</t>
  </si>
  <si>
    <t>C3</t>
  </si>
  <si>
    <t>Una prueba da p = 0.40. ¿Cuál conclusión es correcta?</t>
  </si>
  <si>
    <t>A)  Los dos grupos son iguales.</t>
  </si>
  <si>
    <t>B)  La prueba se aplicó mal.</t>
  </si>
  <si>
    <t>C)  Hay 40 % de probabilidad de que los grupos sean distintos.</t>
  </si>
  <si>
    <t>D)  No hay evidencia suficiente para afirmar que los grupos difieren.</t>
  </si>
  <si>
    <t>C4</t>
  </si>
  <si>
    <t>En una prueba de permutaciones se barajan muchas veces las etiquetas de grupo. ¿Para qué?</t>
  </si>
  <si>
    <t>A)  Para ver qué diferencias produce el azar cuando el grupo no importa.</t>
  </si>
  <si>
    <t>B)  Para aumentar el número de muestras.</t>
  </si>
  <si>
    <t>C)  Para eliminar los valores atípicos.</t>
  </si>
  <si>
    <t>D)  Para que los datos sigan una distribución normal.</t>
  </si>
  <si>
    <t>C5</t>
  </si>
  <si>
    <t>Dos estudios observan la misma diferencia de medias entre grupos. ¿De qué más depende que el valor p sea pequeño?</t>
  </si>
  <si>
    <t>A)  Solo de la diferencia observada.</t>
  </si>
  <si>
    <t>B)  De cuánto varían los datos y de cuántas muestras hay.</t>
  </si>
  <si>
    <t>C)  Del programa con el que se haga el cálculo.</t>
  </si>
  <si>
    <t>D)  Del orden en que se midieron las muestras.</t>
  </si>
  <si>
    <t>C6</t>
  </si>
  <si>
    <t>¿En qué se diferencia la prueba t de Welch de la t de Student?</t>
  </si>
  <si>
    <t>A)  Welch compara medianas en lugar de medias.</t>
  </si>
  <si>
    <t>B)  Welch solo sirve para datos pareados.</t>
  </si>
  <si>
    <t>C)  Welch no necesita que las muestras sean independientes.</t>
  </si>
  <si>
    <t>D)  Welch no supone que los dos grupos tengan la misma varianza.</t>
  </si>
  <si>
    <t>C7</t>
  </si>
  <si>
    <t>Hay dos grupos independientes; los datos no son normales y en uno hay un valor muy atípico. ¿Qué prueba es la más adecuada?</t>
  </si>
  <si>
    <t>A)  t de Student.</t>
  </si>
  <si>
    <t>B)  Wilcoxon de rangos con signo.</t>
  </si>
  <si>
    <t>C)  Mann-Whitney.</t>
  </si>
  <si>
    <t>D)  PERMANOVA.</t>
  </si>
  <si>
    <t>C8</t>
  </si>
  <si>
    <t>Se mide un índice de diversidad en las mismas 10 plantas antes y después de un tratamiento. ¿Qué prueba corresponde?</t>
  </si>
  <si>
    <t>A)  Wilcoxon de rangos con signo.</t>
  </si>
  <si>
    <t>B)  Mann-Whitney.</t>
  </si>
  <si>
    <t>C)  t de Welch.</t>
  </si>
  <si>
    <t>C9</t>
  </si>
  <si>
    <t>¿Por qué se comparan proporciones de lecturas, y no conteos crudos, entre muestras?</t>
  </si>
  <si>
    <t>A)  Porque los conteos crudos dependen de cuántas lecturas se obtuvieron de cada muestra.</t>
  </si>
  <si>
    <t>B)  Porque las proporciones siempre siguen una distribución normal.</t>
  </si>
  <si>
    <t>C)  Porque los conteos no se pueden sumar.</t>
  </si>
  <si>
    <t>D)  Porque las proporciones eliminan los taxones raros.</t>
  </si>
  <si>
    <t>C10</t>
  </si>
  <si>
    <t>En una muestra, un género pasa del 5 % al 20 % de las lecturas. ¿Qué pasa con el porcentaje de los demás géneros?</t>
  </si>
  <si>
    <t>A)  No cambia.</t>
  </si>
  <si>
    <t>B)  Baja, porque los porcentajes de una muestra suman 100.</t>
  </si>
  <si>
    <t>C)  Sube.</t>
  </si>
  <si>
    <t>D)  No se puede saber.</t>
  </si>
  <si>
    <t>C11</t>
  </si>
  <si>
    <t>Se comparan 1 000 géneros entre dos grupos que en realidad no difieren, usando α = 0.05. ¿Cuántos resultados «significativos» se esperan por azar?</t>
  </si>
  <si>
    <t>A)  Ninguno.</t>
  </si>
  <si>
    <t>B)  Cerca de 5.</t>
  </si>
  <si>
    <t>C)  Cerca de 50.</t>
  </si>
  <si>
    <t>D)  Cerca de 500.</t>
  </si>
  <si>
    <t>C12</t>
  </si>
  <si>
    <t>Un PERMANOVA da p = 0.01 y un PERMDISP da p = 0.004. ¿Qué se puede concluir?</t>
  </si>
  <si>
    <t>A)  Los grupos difieren en su composición promedio.</t>
  </si>
  <si>
    <t>B)  Los grupos son iguales.</t>
  </si>
  <si>
    <t>C)  El PERMANOVA está mal calculado.</t>
  </si>
  <si>
    <t>D)  Los grupos difieren, pero puede deberse a su composición promedio, a su dispersión o a las dos.</t>
  </si>
  <si>
    <t>¡Gracias por responder!</t>
  </si>
  <si>
    <t>Encuesta POST: taller práctico de pruebas de hipótesis con datos metagenómicos</t>
  </si>
  <si>
    <t>Esta encuesta se responde después del taller. Es anónima, no tiene nota y toma unos 10 minutos. Sirve para mejorar el taller: responde con sinceridad y, si no sabes una respuesta, no adivines.</t>
  </si>
  <si>
    <t>D. Tu opinión sobre el taller   (1 = muy en desacuerdo, 2 = en desacuerdo, 3 = ni de acuerdo ni en desacuerdo, 4 = de acuerdo, 5 = muy de acuerdo)</t>
  </si>
  <si>
    <t>D1</t>
  </si>
  <si>
    <t>Las explicaciones del taller fueron claras.</t>
  </si>
  <si>
    <t>D2</t>
  </si>
  <si>
    <t>El ritmo del taller fue adecuado.</t>
  </si>
  <si>
    <t>D3</t>
  </si>
  <si>
    <t>Los comentarios del código me ayudaron a entender qué hace cada paso.</t>
  </si>
  <si>
    <t>D4</t>
  </si>
  <si>
    <t>Trabajar con datos simulados y con datos reales me ayudó a entender cuándo confiar en una prueba.</t>
  </si>
  <si>
    <t>D5</t>
  </si>
  <si>
    <t>Los laboratorios con controles me ayudaron a entender de qué depende el valor p.</t>
  </si>
  <si>
    <t>D6</t>
  </si>
  <si>
    <t>Los ejercicios y las preguntas tuvieron una dificultad adecuada.</t>
  </si>
  <si>
    <t>D7</t>
  </si>
  <si>
    <t>Las figuras me ayudaron a interpretar los resultados.</t>
  </si>
  <si>
    <t>D8</t>
  </si>
  <si>
    <t>Podría aplicar estas pruebas a mis propios datos.</t>
  </si>
  <si>
    <t>D9</t>
  </si>
  <si>
    <t>El tiempo del taller fue suficiente.</t>
  </si>
  <si>
    <t>D10</t>
  </si>
  <si>
    <t>Recomendaría este taller a otras personas.</t>
  </si>
  <si>
    <t>E. En tus palabras</t>
  </si>
  <si>
    <t>E1</t>
  </si>
  <si>
    <t>¿Qué fue lo que mejor entendiste del taller?</t>
  </si>
  <si>
    <t>E2</t>
  </si>
  <si>
    <t>¿Qué te resultó más confuso?</t>
  </si>
  <si>
    <t>E3</t>
  </si>
  <si>
    <t>¿Qué cambiarías o agregarías?</t>
  </si>
  <si>
    <t>Clave de respuestas y qué mide cada ítem de conocimiento</t>
  </si>
  <si>
    <t>Taller aplicado</t>
  </si>
  <si>
    <t>Completo</t>
  </si>
  <si>
    <t>Elige «Completo» o «Rápido». Con «Rápido» no se cuentan los ítems que ese taller no cubre.</t>
  </si>
  <si>
    <t>Ítem</t>
  </si>
  <si>
    <t>Tema que evalúa</t>
  </si>
  <si>
    <t>Episodio (taller completo)</t>
  </si>
  <si>
    <t>Respuesta correcta</t>
  </si>
  <si>
    <t>Por qué</t>
  </si>
  <si>
    <t>Lo cubre el taller rápido</t>
  </si>
  <si>
    <t>Se cuenta</t>
  </si>
  <si>
    <t>Hipótesis nula</t>
  </si>
  <si>
    <t>B</t>
  </si>
  <si>
    <t>La hipótesis nula dice que el grupo no importa; es la que se pone a prueba.</t>
  </si>
  <si>
    <t>Sí</t>
  </si>
  <si>
    <t>Significado del valor p</t>
  </si>
  <si>
    <t>C</t>
  </si>
  <si>
    <t>El valor p se calcula suponiendo que la hipótesis nula es cierta; no es la probabilidad de la hipótesis.</t>
  </si>
  <si>
    <t>Un p grande no demuestra igualdad</t>
  </si>
  <si>
    <t>D</t>
  </si>
  <si>
    <t>No rechazar la hipótesis nula no la demuestra: puede faltar potencia.</t>
  </si>
  <si>
    <t>Lógica de las permutaciones</t>
  </si>
  <si>
    <t>A</t>
  </si>
  <si>
    <t>Barajar etiquetas construye la distribución del estadístico bajo la hipótesis nula.</t>
  </si>
  <si>
    <t>De qué depende el valor p</t>
  </si>
  <si>
    <t>El valor p depende de la diferencia, de la variabilidad y del tamaño de muestra (Laboratorio 1).</t>
  </si>
  <si>
    <t>Student frente a Welch</t>
  </si>
  <si>
    <t>Student supone varianzas iguales; Welch usa la varianza de cada grupo por separado.</t>
  </si>
  <si>
    <t>Pruebas de rangos</t>
  </si>
  <si>
    <t>Mann-Whitney trabaja con rangos: no supone normalidad y resiste los valores atípicos.</t>
  </si>
  <si>
    <t>Datos pareados</t>
  </si>
  <si>
    <t>Son dos medidas de las mismas unidades: datos pareados.</t>
  </si>
  <si>
    <t>No</t>
  </si>
  <si>
    <t>Profundidad de secuenciación</t>
  </si>
  <si>
    <t>Cada muestra tiene un número distinto de lecturas; los conteos crudos mezclan biología y técnica.</t>
  </si>
  <si>
    <t>Datos composicionales</t>
  </si>
  <si>
    <t>Las proporciones suman un total fijo: si una sube, las demás bajan.</t>
  </si>
  <si>
    <t>Comparaciones múltiples</t>
  </si>
  <si>
    <t>El 5 % de 1 000 pruebas son unas 50 falsas alarmas: hay que corregir los valores p.</t>
  </si>
  <si>
    <t>PERMANOVA y PERMDISP</t>
  </si>
  <si>
    <t>El PERMANOVA también reacciona a diferencias de dispersión; por eso se acompaña de PERMDISP.</t>
  </si>
  <si>
    <t>Ítems que se cuentan</t>
  </si>
  <si>
    <t>Las claves están repartidas por igual: tres ítems con cada letra (A, B, C y D). «Lo cubre el taller rápido» indica si el tema se trabaja en la versión de una hora.</t>
  </si>
  <si>
    <t>Respuestas de la encuesta PRE (antes del taller)</t>
  </si>
  <si>
    <t>Una fila por estudiante, desde la fila 7. Llena solo las celdas amarillas. La fila gris es un ejemplo y no se cuenta. A2–A4 y B1–B8: número de 1 a 5. C1–C12: letra elegida (E = No lo sé).</t>
  </si>
  <si>
    <t>¿Se cuenta?</t>
  </si>
  <si>
    <t>A1 Programa</t>
  </si>
  <si>
    <t>Aciertos</t>
  </si>
  <si>
    <t>% de aciertos</t>
  </si>
  <si>
    <t>CA4712</t>
  </si>
  <si>
    <t>Maestría en Ciencias</t>
  </si>
  <si>
    <t>E</t>
  </si>
  <si>
    <t>Respuestas de la encuesta POST (después del taller)</t>
  </si>
  <si>
    <t>Una fila por estudiante, desde la fila 7, con el mismo código que usó en la PRE. Llena solo las celdas amarillas. La fila gris es un ejemplo y no se cuenta. B1–B8 y D1–D10: número de 1 a 5. C1–C12: letra elegida (E = No lo sé). E1–E3: texto libre.</t>
  </si>
  <si>
    <t>Aciertos PRE (mismo código)</t>
  </si>
  <si>
    <t>Cambio en aciertos</t>
  </si>
  <si>
    <t>Qué significa el valor p y cómo se construye barajando etiquetas.</t>
  </si>
  <si>
    <t>La diferencia entre PERMANOVA y PERMDISP.</t>
  </si>
  <si>
    <t>Más tiempo para los laboratorios.</t>
  </si>
  <si>
    <t>Resultados de la encuesta pre y post</t>
  </si>
  <si>
    <t>Esta hoja se calcula sola a partir de «Respuestas PRE», «Respuestas POST» y «Clave». No hay que escribir en ella.</t>
  </si>
  <si>
    <t>1. Participación</t>
  </si>
  <si>
    <t>Estudiantes que respondieron la encuesta PRE</t>
  </si>
  <si>
    <t>Estudiantes que respondieron la encuesta POST</t>
  </si>
  <si>
    <t>Estudiantes con las dos encuestas (mismo código)</t>
  </si>
  <si>
    <t>2. Conocimiento del tema: todo el grupo</t>
  </si>
  <si>
    <t>Ítems de conocimiento que se cuentan</t>
  </si>
  <si>
    <t>Promedio de aciertos PRE</t>
  </si>
  <si>
    <t>Promedio de aciertos POST</t>
  </si>
  <si>
    <t>% de aciertos PRE</t>
  </si>
  <si>
    <t>% de aciertos POST</t>
  </si>
  <si>
    <t>Cambio (puntos porcentuales)</t>
  </si>
  <si>
    <t>Ganancia normalizada: (POST − PRE) / (100 % − PRE)</t>
  </si>
  <si>
    <t>Interpretación de la ganancia (baja &lt; 0.3 ≤ media &lt; 0.7 ≤ alta)</t>
  </si>
  <si>
    <t>3. Conocimiento del tema: solo estudiantes con las dos encuestas</t>
  </si>
  <si>
    <t>Promedio del cambio en aciertos (POST − PRE)</t>
  </si>
  <si>
    <t>Estudiantes que mejoraron</t>
  </si>
  <si>
    <t>Estudiantes que quedaron igual</t>
  </si>
  <si>
    <t>Estudiantes que bajaron</t>
  </si>
  <si>
    <t>4. Resultados por ítem de conocimiento</t>
  </si>
  <si>
    <t>% correcto PRE</t>
  </si>
  <si>
    <t>% correcto POST</t>
  </si>
  <si>
    <t>Cambio (puntos)</t>
  </si>
  <si>
    <t>% «No lo sé» PRE</t>
  </si>
  <si>
    <t>% «No lo sé» POST</t>
  </si>
  <si>
    <t>5. Autopercepción: ¿qué tan capaz te sientes de…? (promedio en escala de 1 a 5)</t>
  </si>
  <si>
    <t>Afirmación</t>
  </si>
  <si>
    <t>Promedio PRE</t>
  </si>
  <si>
    <t>Promedio POST</t>
  </si>
  <si>
    <t>Cambio</t>
  </si>
  <si>
    <t>6. Valoración del taller (encuesta POST, escala de 1 a 5)</t>
  </si>
  <si>
    <t>Promedio</t>
  </si>
  <si>
    <t>% de acuerdo (4 o 5)</t>
  </si>
  <si>
    <t>Las respuestas abiertas (E1 a E3) se leen directamente en la hoja «Respuestas 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</si>
</sst>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7" x14ac:knownFonts="1">
    <font>
      <sz val="11"/>
      <color theme="1"/>
      <name val="Calibri"/>
      <family val="2"/>
      <scheme val="minor"/>
    </font>
    <font>
      <b/>
      <sz val="14"/>
      <color rgb="FF1F3864"/>
      <name val="Arial"/>
    </font>
    <font>
      <b/>
      <sz val="10"/>
      <name val="Arial"/>
    </font>
    <font>
      <sz val="10"/>
      <name val="Arial"/>
    </font>
    <font>
      <i/>
      <sz val="9"/>
      <color rgb="FF595959"/>
      <name val="Arial"/>
    </font>
    <font>
      <b/>
      <sz val="11"/>
      <color rgb="FFFFFFFF"/>
      <name val="Arial"/>
    </font>
    <font>
      <i/>
      <sz val="10"/>
      <color rgb="FF7F7F7F"/>
      <name val="Arial"/>
    </font>
  </fonts>
  <fills count="7">
    <fill>
      <patternFill patternType="none"/>
    </fill>
    <fill>
      <patternFill patternType="gray125"/>
    </fill>
    <fill>
      <patternFill patternType="solid">
        <fgColor rgb="FFD9E2F3"/>
      </patternFill>
    </fill>
    <fill>
      <patternFill patternType="solid">
        <fgColor rgb="FFFFF2CC"/>
      </patternFill>
    </fill>
    <fill>
      <patternFill patternType="solid">
        <fgColor rgb="FFEDEDED"/>
      </patternFill>
    </fill>
    <fill>
      <patternFill patternType="solid">
        <fgColor rgb="FFC6EFCE"/>
      </patternFill>
    </fill>
    <fill>
      <patternFill patternType="solid">
        <fgColor rgb="FF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7">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0" fontId="2" fillId="0" borderId="0" xfId="0" applyFont="1" applyAlignment="1">
      <alignment vertical="top" wrapText="1"/>
    </xf>
    <xf numFmtId="0" fontId="3" fillId="3" borderId="1" xfId="0" applyFont="1" applyFill="1" applyBorder="1" applyAlignment="1">
      <alignment vertical="top" wrapText="1"/>
    </xf>
    <xf numFmtId="0" fontId="3" fillId="0" borderId="0" xfId="0" applyFont="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9" fontId="6" fillId="4"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9" fontId="3"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1" fillId="0" borderId="0" xfId="0" applyFont="1" applyAlignment="1">
      <alignment vertical="top" wrapText="1"/>
    </xf>
    <xf numFmtId="0" fontId="0" fillId="0" borderId="0" xfId="0"/>
    <xf numFmtId="0" fontId="5" fillId="6" borderId="0" xfId="0" applyFont="1" applyFill="1" applyAlignment="1">
      <alignment vertical="center" wrapText="1"/>
    </xf>
    <xf numFmtId="0" fontId="4" fillId="0" borderId="0" xfId="0" applyFont="1" applyAlignment="1">
      <alignment vertical="top" wrapText="1"/>
    </xf>
    <xf numFmtId="0" fontId="3" fillId="3" borderId="1" xfId="0" applyFont="1" applyFill="1" applyBorder="1" applyAlignment="1">
      <alignment vertical="top" wrapText="1"/>
    </xf>
    <xf numFmtId="0" fontId="2" fillId="2" borderId="1" xfId="0" applyFont="1" applyFill="1" applyBorder="1" applyAlignment="1">
      <alignment vertical="top" wrapText="1"/>
    </xf>
    <xf numFmtId="0" fontId="0" fillId="0" borderId="2" xfId="0" applyBorder="1"/>
    <xf numFmtId="0" fontId="0" fillId="0" borderId="3" xfId="0" applyBorder="1"/>
    <xf numFmtId="0" fontId="3" fillId="0" borderId="1" xfId="0" applyFont="1" applyBorder="1" applyAlignment="1">
      <alignment vertical="top" wrapText="1"/>
    </xf>
  </cellXfs>
  <cellStyles count="1">
    <cellStyle name="Normal" xfId="0" builtinId="0"/>
  </cellStyles>
  <dxfs count="2">
    <dxf>
      <fill>
        <patternFill patternType="solid">
          <fgColor rgb="FFC6EF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Respuestas correctas por ítem: PRE y POST</a:t>
            </a:r>
          </a:p>
        </c:rich>
      </c:tx>
      <c:overlay val="1"/>
    </c:title>
    <c:autoTitleDeleted val="0"/>
    <c:plotArea>
      <c:layout/>
      <c:barChart>
        <c:barDir val="col"/>
        <c:grouping val="clustered"/>
        <c:varyColors val="1"/>
        <c:ser>
          <c:idx val="0"/>
          <c:order val="0"/>
          <c:tx>
            <c:strRef>
              <c:f>Resultados!$E$26</c:f>
              <c:strCache>
                <c:ptCount val="1"/>
                <c:pt idx="0">
                  <c:v>% correcto PRE</c:v>
                </c:pt>
              </c:strCache>
            </c:strRef>
          </c:tx>
          <c:spPr>
            <a:ln>
              <a:prstDash val="solid"/>
            </a:ln>
          </c:spPr>
          <c:invertIfNegative val="1"/>
          <c:cat>
            <c:strRef>
              <c:f>Resultados!$A$27:$A$38</c:f>
              <c:strCache>
                <c:ptCount val="12"/>
                <c:pt idx="0">
                  <c:v>C1</c:v>
                </c:pt>
                <c:pt idx="1">
                  <c:v>C2</c:v>
                </c:pt>
                <c:pt idx="2">
                  <c:v>C3</c:v>
                </c:pt>
                <c:pt idx="3">
                  <c:v>C4</c:v>
                </c:pt>
                <c:pt idx="4">
                  <c:v>C5</c:v>
                </c:pt>
                <c:pt idx="5">
                  <c:v>C6</c:v>
                </c:pt>
                <c:pt idx="6">
                  <c:v>C7</c:v>
                </c:pt>
                <c:pt idx="7">
                  <c:v>C8</c:v>
                </c:pt>
                <c:pt idx="8">
                  <c:v>C9</c:v>
                </c:pt>
                <c:pt idx="9">
                  <c:v>C10</c:v>
                </c:pt>
                <c:pt idx="10">
                  <c:v>C11</c:v>
                </c:pt>
                <c:pt idx="11">
                  <c:v>C12</c:v>
                </c:pt>
              </c:strCache>
            </c:strRef>
          </c:cat>
          <c:val>
            <c:numRef>
              <c:f>Resultados!$E$27:$E$38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C15-4AD6-8FC7-5E3A2C2C820A}"/>
            </c:ext>
          </c:extLst>
        </c:ser>
        <c:ser>
          <c:idx val="1"/>
          <c:order val="1"/>
          <c:tx>
            <c:strRef>
              <c:f>Resultados!$F$26</c:f>
              <c:strCache>
                <c:ptCount val="1"/>
                <c:pt idx="0">
                  <c:v>% correcto POST</c:v>
                </c:pt>
              </c:strCache>
            </c:strRef>
          </c:tx>
          <c:spPr>
            <a:ln>
              <a:prstDash val="solid"/>
            </a:ln>
          </c:spPr>
          <c:invertIfNegative val="1"/>
          <c:cat>
            <c:strRef>
              <c:f>Resultados!$A$27:$A$38</c:f>
              <c:strCache>
                <c:ptCount val="12"/>
                <c:pt idx="0">
                  <c:v>C1</c:v>
                </c:pt>
                <c:pt idx="1">
                  <c:v>C2</c:v>
                </c:pt>
                <c:pt idx="2">
                  <c:v>C3</c:v>
                </c:pt>
                <c:pt idx="3">
                  <c:v>C4</c:v>
                </c:pt>
                <c:pt idx="4">
                  <c:v>C5</c:v>
                </c:pt>
                <c:pt idx="5">
                  <c:v>C6</c:v>
                </c:pt>
                <c:pt idx="6">
                  <c:v>C7</c:v>
                </c:pt>
                <c:pt idx="7">
                  <c:v>C8</c:v>
                </c:pt>
                <c:pt idx="8">
                  <c:v>C9</c:v>
                </c:pt>
                <c:pt idx="9">
                  <c:v>C10</c:v>
                </c:pt>
                <c:pt idx="10">
                  <c:v>C11</c:v>
                </c:pt>
                <c:pt idx="11">
                  <c:v>C12</c:v>
                </c:pt>
              </c:strCache>
            </c:strRef>
          </c:cat>
          <c:val>
            <c:numRef>
              <c:f>Resultados!$F$27:$F$38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CC15-4AD6-8FC7-5E3A2C2C820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1"/>
        <c:axPos val="l"/>
        <c:majorGridlines/>
        <c:title>
          <c:tx>
            <c:rich>
              <a:bodyPr/>
              <a:lstStyle/>
              <a:p>
                <a:pPr>
                  <a:defRPr/>
                </a:pPr>
                <a:r>
                  <a:t>% de estudiantes</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0</xdr:colOff>
      <xdr:row>3</xdr:row>
      <xdr:rowOff>0</xdr:rowOff>
    </xdr:from>
    <xdr:ext cx="7200000" cy="306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election sqref="A1:B1"/>
    </sheetView>
  </sheetViews>
  <sheetFormatPr baseColWidth="10" defaultColWidth="8.7265625" defaultRowHeight="14.5" x14ac:dyDescent="0.35"/>
  <cols>
    <col min="1" max="1" width="30" customWidth="1"/>
    <col min="2" max="2" width="95" customWidth="1"/>
  </cols>
  <sheetData>
    <row r="1" spans="1:2" x14ac:dyDescent="0.35">
      <c r="A1" s="28" t="s">
        <v>0</v>
      </c>
      <c r="B1" s="29"/>
    </row>
    <row r="3" spans="1:2" ht="45" customHeight="1" x14ac:dyDescent="0.35">
      <c r="A3" s="2" t="s">
        <v>1</v>
      </c>
      <c r="B3" s="3" t="s">
        <v>2</v>
      </c>
    </row>
    <row r="4" spans="1:2" ht="30" customHeight="1" x14ac:dyDescent="0.35">
      <c r="A4" s="2" t="s">
        <v>3</v>
      </c>
      <c r="B4" s="3" t="s">
        <v>4</v>
      </c>
    </row>
    <row r="5" spans="1:2" ht="45" customHeight="1" x14ac:dyDescent="0.35">
      <c r="A5" s="2" t="s">
        <v>5</v>
      </c>
      <c r="B5" s="3" t="s">
        <v>6</v>
      </c>
    </row>
    <row r="6" spans="1:2" ht="60" customHeight="1" x14ac:dyDescent="0.35">
      <c r="A6" s="2" t="s">
        <v>7</v>
      </c>
      <c r="B6" s="3" t="s">
        <v>8</v>
      </c>
    </row>
    <row r="7" spans="1:2" ht="45" customHeight="1" x14ac:dyDescent="0.35">
      <c r="A7" s="2" t="s">
        <v>9</v>
      </c>
      <c r="B7" s="3" t="s">
        <v>10</v>
      </c>
    </row>
    <row r="8" spans="1:2" ht="30" customHeight="1" x14ac:dyDescent="0.35">
      <c r="A8" s="2" t="s">
        <v>11</v>
      </c>
      <c r="B8" s="3" t="s">
        <v>12</v>
      </c>
    </row>
    <row r="9" spans="1:2" ht="45" customHeight="1" x14ac:dyDescent="0.35">
      <c r="A9" s="2" t="s">
        <v>13</v>
      </c>
      <c r="B9" s="3" t="s">
        <v>14</v>
      </c>
    </row>
    <row r="10" spans="1:2" ht="30" customHeight="1" x14ac:dyDescent="0.35">
      <c r="A10" s="2" t="s">
        <v>15</v>
      </c>
      <c r="B10" s="3" t="s">
        <v>16</v>
      </c>
    </row>
    <row r="11" spans="1:2" ht="45" customHeight="1" x14ac:dyDescent="0.35">
      <c r="A11" s="2" t="s">
        <v>17</v>
      </c>
      <c r="B11" s="3" t="s">
        <v>18</v>
      </c>
    </row>
    <row r="12" spans="1:2" ht="60" customHeight="1" x14ac:dyDescent="0.35">
      <c r="A12" s="2" t="s">
        <v>19</v>
      </c>
      <c r="B12" s="3" t="s">
        <v>20</v>
      </c>
    </row>
    <row r="13" spans="1:2" ht="45" customHeight="1" x14ac:dyDescent="0.35">
      <c r="A13" s="2" t="s">
        <v>21</v>
      </c>
      <c r="B13" s="3" t="s">
        <v>22</v>
      </c>
    </row>
    <row r="14" spans="1:2" ht="30" customHeight="1" x14ac:dyDescent="0.35">
      <c r="A14" s="2" t="s">
        <v>23</v>
      </c>
      <c r="B14" s="3" t="s">
        <v>24</v>
      </c>
    </row>
    <row r="16" spans="1:2" x14ac:dyDescent="0.35">
      <c r="A16" s="4" t="s">
        <v>25</v>
      </c>
    </row>
    <row r="17" spans="1:2" x14ac:dyDescent="0.35">
      <c r="A17" s="5"/>
      <c r="B17" s="6" t="s">
        <v>26</v>
      </c>
    </row>
    <row r="18" spans="1:2" x14ac:dyDescent="0.35">
      <c r="A18" s="7"/>
      <c r="B18" s="6" t="s">
        <v>27</v>
      </c>
    </row>
    <row r="19" spans="1:2" x14ac:dyDescent="0.35">
      <c r="A19" s="8"/>
      <c r="B19" s="6" t="s">
        <v>28</v>
      </c>
    </row>
    <row r="20" spans="1:2" x14ac:dyDescent="0.35">
      <c r="A20" s="9"/>
      <c r="B20" s="6" t="s">
        <v>29</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97"/>
  <sheetViews>
    <sheetView workbookViewId="0">
      <pane ySplit="3" topLeftCell="A4" activePane="bottomLeft" state="frozen"/>
      <selection pane="bottomLeft"/>
    </sheetView>
  </sheetViews>
  <sheetFormatPr baseColWidth="10" defaultColWidth="8.7265625" defaultRowHeight="14.5" x14ac:dyDescent="0.35"/>
  <cols>
    <col min="1" max="1" width="7" customWidth="1"/>
    <col min="2" max="2" width="92" customWidth="1"/>
    <col min="3" max="3" width="16" customWidth="1"/>
  </cols>
  <sheetData>
    <row r="1" spans="1:3" x14ac:dyDescent="0.35">
      <c r="A1" s="28" t="s">
        <v>30</v>
      </c>
      <c r="B1" s="29"/>
      <c r="C1" s="29"/>
    </row>
    <row r="2" spans="1:3" ht="30" customHeight="1" x14ac:dyDescent="0.35">
      <c r="A2" s="31" t="s">
        <v>31</v>
      </c>
      <c r="B2" s="29"/>
      <c r="C2" s="29"/>
    </row>
    <row r="4" spans="1:3" ht="30" customHeight="1" x14ac:dyDescent="0.35">
      <c r="A4" s="2" t="s">
        <v>32</v>
      </c>
      <c r="B4" s="3" t="s">
        <v>33</v>
      </c>
      <c r="C4" s="5"/>
    </row>
    <row r="6" spans="1:3" ht="20" customHeight="1" x14ac:dyDescent="0.35">
      <c r="A6" s="30" t="s">
        <v>34</v>
      </c>
      <c r="B6" s="29"/>
      <c r="C6" s="29"/>
    </row>
    <row r="7" spans="1:3" x14ac:dyDescent="0.35">
      <c r="A7" s="10" t="s">
        <v>35</v>
      </c>
      <c r="B7" s="3" t="s">
        <v>36</v>
      </c>
      <c r="C7" s="5"/>
    </row>
    <row r="8" spans="1:3" x14ac:dyDescent="0.35">
      <c r="A8" s="10" t="s">
        <v>37</v>
      </c>
      <c r="B8" s="3" t="s">
        <v>38</v>
      </c>
      <c r="C8" s="5"/>
    </row>
    <row r="9" spans="1:3" x14ac:dyDescent="0.35">
      <c r="A9" s="10" t="s">
        <v>39</v>
      </c>
      <c r="B9" s="3" t="s">
        <v>40</v>
      </c>
      <c r="C9" s="5"/>
    </row>
    <row r="10" spans="1:3" x14ac:dyDescent="0.35">
      <c r="A10" s="10" t="s">
        <v>41</v>
      </c>
      <c r="B10" s="3" t="s">
        <v>42</v>
      </c>
      <c r="C10" s="5"/>
    </row>
    <row r="12" spans="1:3" ht="34" customHeight="1" x14ac:dyDescent="0.35">
      <c r="A12" s="30" t="s">
        <v>43</v>
      </c>
      <c r="B12" s="29"/>
      <c r="C12" s="29"/>
    </row>
    <row r="13" spans="1:3" x14ac:dyDescent="0.35">
      <c r="A13" s="10" t="s">
        <v>44</v>
      </c>
      <c r="B13" s="3" t="s">
        <v>45</v>
      </c>
      <c r="C13" s="5"/>
    </row>
    <row r="14" spans="1:3" x14ac:dyDescent="0.35">
      <c r="A14" s="10" t="s">
        <v>46</v>
      </c>
      <c r="B14" s="3" t="s">
        <v>47</v>
      </c>
      <c r="C14" s="5"/>
    </row>
    <row r="15" spans="1:3" x14ac:dyDescent="0.35">
      <c r="A15" s="10" t="s">
        <v>48</v>
      </c>
      <c r="B15" s="3" t="s">
        <v>49</v>
      </c>
      <c r="C15" s="5"/>
    </row>
    <row r="16" spans="1:3" x14ac:dyDescent="0.35">
      <c r="A16" s="10" t="s">
        <v>50</v>
      </c>
      <c r="B16" s="3" t="s">
        <v>51</v>
      </c>
      <c r="C16" s="5"/>
    </row>
    <row r="17" spans="1:3" x14ac:dyDescent="0.35">
      <c r="A17" s="10" t="s">
        <v>52</v>
      </c>
      <c r="B17" s="3" t="s">
        <v>53</v>
      </c>
      <c r="C17" s="5"/>
    </row>
    <row r="18" spans="1:3" x14ac:dyDescent="0.35">
      <c r="A18" s="10" t="s">
        <v>54</v>
      </c>
      <c r="B18" s="3" t="s">
        <v>55</v>
      </c>
      <c r="C18" s="5"/>
    </row>
    <row r="19" spans="1:3" x14ac:dyDescent="0.35">
      <c r="A19" s="10" t="s">
        <v>56</v>
      </c>
      <c r="B19" s="3" t="s">
        <v>57</v>
      </c>
      <c r="C19" s="5"/>
    </row>
    <row r="20" spans="1:3" x14ac:dyDescent="0.35">
      <c r="A20" s="10" t="s">
        <v>58</v>
      </c>
      <c r="B20" s="3" t="s">
        <v>59</v>
      </c>
      <c r="C20" s="5"/>
    </row>
    <row r="22" spans="1:3" ht="20" customHeight="1" x14ac:dyDescent="0.35">
      <c r="A22" s="30" t="s">
        <v>60</v>
      </c>
      <c r="B22" s="29"/>
      <c r="C22" s="29"/>
    </row>
    <row r="23" spans="1:3" ht="30" customHeight="1" x14ac:dyDescent="0.35">
      <c r="A23" s="2" t="s">
        <v>61</v>
      </c>
      <c r="B23" s="2" t="s">
        <v>62</v>
      </c>
      <c r="C23" s="5"/>
    </row>
    <row r="24" spans="1:3" ht="15" customHeight="1" x14ac:dyDescent="0.35">
      <c r="B24" s="6" t="s">
        <v>63</v>
      </c>
    </row>
    <row r="25" spans="1:3" ht="15" customHeight="1" x14ac:dyDescent="0.35">
      <c r="B25" s="6" t="s">
        <v>64</v>
      </c>
    </row>
    <row r="26" spans="1:3" ht="15" customHeight="1" x14ac:dyDescent="0.35">
      <c r="B26" s="6" t="s">
        <v>65</v>
      </c>
    </row>
    <row r="27" spans="1:3" ht="15" customHeight="1" x14ac:dyDescent="0.35">
      <c r="B27" s="6" t="s">
        <v>66</v>
      </c>
    </row>
    <row r="28" spans="1:3" ht="15" customHeight="1" x14ac:dyDescent="0.35">
      <c r="B28" s="6" t="s">
        <v>67</v>
      </c>
    </row>
    <row r="29" spans="1:3" ht="15" customHeight="1" x14ac:dyDescent="0.35">
      <c r="A29" s="2" t="s">
        <v>68</v>
      </c>
      <c r="B29" s="2" t="s">
        <v>69</v>
      </c>
      <c r="C29" s="5"/>
    </row>
    <row r="30" spans="1:3" ht="15" customHeight="1" x14ac:dyDescent="0.35">
      <c r="B30" s="6" t="s">
        <v>70</v>
      </c>
    </row>
    <row r="31" spans="1:3" ht="15" customHeight="1" x14ac:dyDescent="0.35">
      <c r="B31" s="6" t="s">
        <v>71</v>
      </c>
    </row>
    <row r="32" spans="1:3" ht="30" customHeight="1" x14ac:dyDescent="0.35">
      <c r="B32" s="6" t="s">
        <v>72</v>
      </c>
    </row>
    <row r="33" spans="1:3" ht="15" customHeight="1" x14ac:dyDescent="0.35">
      <c r="B33" s="6" t="s">
        <v>73</v>
      </c>
    </row>
    <row r="34" spans="1:3" ht="15" customHeight="1" x14ac:dyDescent="0.35">
      <c r="B34" s="6" t="s">
        <v>67</v>
      </c>
    </row>
    <row r="35" spans="1:3" ht="15" customHeight="1" x14ac:dyDescent="0.35">
      <c r="A35" s="2" t="s">
        <v>74</v>
      </c>
      <c r="B35" s="2" t="s">
        <v>75</v>
      </c>
      <c r="C35" s="5"/>
    </row>
    <row r="36" spans="1:3" ht="15" customHeight="1" x14ac:dyDescent="0.35">
      <c r="B36" s="6" t="s">
        <v>76</v>
      </c>
    </row>
    <row r="37" spans="1:3" ht="15" customHeight="1" x14ac:dyDescent="0.35">
      <c r="B37" s="6" t="s">
        <v>77</v>
      </c>
    </row>
    <row r="38" spans="1:3" ht="15" customHeight="1" x14ac:dyDescent="0.35">
      <c r="B38" s="6" t="s">
        <v>78</v>
      </c>
    </row>
    <row r="39" spans="1:3" ht="15" customHeight="1" x14ac:dyDescent="0.35">
      <c r="B39" s="6" t="s">
        <v>79</v>
      </c>
    </row>
    <row r="40" spans="1:3" ht="15" customHeight="1" x14ac:dyDescent="0.35">
      <c r="B40" s="6" t="s">
        <v>67</v>
      </c>
    </row>
    <row r="41" spans="1:3" ht="30" customHeight="1" x14ac:dyDescent="0.35">
      <c r="A41" s="2" t="s">
        <v>80</v>
      </c>
      <c r="B41" s="2" t="s">
        <v>81</v>
      </c>
      <c r="C41" s="5"/>
    </row>
    <row r="42" spans="1:3" ht="15" customHeight="1" x14ac:dyDescent="0.35">
      <c r="B42" s="6" t="s">
        <v>82</v>
      </c>
    </row>
    <row r="43" spans="1:3" ht="15" customHeight="1" x14ac:dyDescent="0.35">
      <c r="B43" s="6" t="s">
        <v>83</v>
      </c>
    </row>
    <row r="44" spans="1:3" ht="15" customHeight="1" x14ac:dyDescent="0.35">
      <c r="B44" s="6" t="s">
        <v>84</v>
      </c>
    </row>
    <row r="45" spans="1:3" ht="15" customHeight="1" x14ac:dyDescent="0.35">
      <c r="B45" s="6" t="s">
        <v>85</v>
      </c>
    </row>
    <row r="46" spans="1:3" ht="15" customHeight="1" x14ac:dyDescent="0.35">
      <c r="B46" s="6" t="s">
        <v>67</v>
      </c>
    </row>
    <row r="47" spans="1:3" ht="30" customHeight="1" x14ac:dyDescent="0.35">
      <c r="A47" s="2" t="s">
        <v>86</v>
      </c>
      <c r="B47" s="2" t="s">
        <v>87</v>
      </c>
      <c r="C47" s="5"/>
    </row>
    <row r="48" spans="1:3" ht="15" customHeight="1" x14ac:dyDescent="0.35">
      <c r="B48" s="6" t="s">
        <v>88</v>
      </c>
    </row>
    <row r="49" spans="1:3" ht="15" customHeight="1" x14ac:dyDescent="0.35">
      <c r="B49" s="6" t="s">
        <v>89</v>
      </c>
    </row>
    <row r="50" spans="1:3" ht="15" customHeight="1" x14ac:dyDescent="0.35">
      <c r="B50" s="6" t="s">
        <v>90</v>
      </c>
    </row>
    <row r="51" spans="1:3" ht="15" customHeight="1" x14ac:dyDescent="0.35">
      <c r="B51" s="6" t="s">
        <v>91</v>
      </c>
    </row>
    <row r="52" spans="1:3" ht="15" customHeight="1" x14ac:dyDescent="0.35">
      <c r="B52" s="6" t="s">
        <v>67</v>
      </c>
    </row>
    <row r="53" spans="1:3" ht="15" customHeight="1" x14ac:dyDescent="0.35">
      <c r="A53" s="2" t="s">
        <v>92</v>
      </c>
      <c r="B53" s="2" t="s">
        <v>93</v>
      </c>
      <c r="C53" s="5"/>
    </row>
    <row r="54" spans="1:3" ht="15" customHeight="1" x14ac:dyDescent="0.35">
      <c r="B54" s="6" t="s">
        <v>94</v>
      </c>
    </row>
    <row r="55" spans="1:3" ht="15" customHeight="1" x14ac:dyDescent="0.35">
      <c r="B55" s="6" t="s">
        <v>95</v>
      </c>
    </row>
    <row r="56" spans="1:3" ht="15" customHeight="1" x14ac:dyDescent="0.35">
      <c r="B56" s="6" t="s">
        <v>96</v>
      </c>
    </row>
    <row r="57" spans="1:3" ht="15" customHeight="1" x14ac:dyDescent="0.35">
      <c r="B57" s="6" t="s">
        <v>97</v>
      </c>
    </row>
    <row r="58" spans="1:3" ht="15" customHeight="1" x14ac:dyDescent="0.35">
      <c r="B58" s="6" t="s">
        <v>67</v>
      </c>
    </row>
    <row r="59" spans="1:3" ht="30" customHeight="1" x14ac:dyDescent="0.35">
      <c r="A59" s="2" t="s">
        <v>98</v>
      </c>
      <c r="B59" s="2" t="s">
        <v>99</v>
      </c>
      <c r="C59" s="5"/>
    </row>
    <row r="60" spans="1:3" ht="15" customHeight="1" x14ac:dyDescent="0.35">
      <c r="B60" s="6" t="s">
        <v>100</v>
      </c>
    </row>
    <row r="61" spans="1:3" ht="15" customHeight="1" x14ac:dyDescent="0.35">
      <c r="B61" s="6" t="s">
        <v>101</v>
      </c>
    </row>
    <row r="62" spans="1:3" ht="15" customHeight="1" x14ac:dyDescent="0.35">
      <c r="B62" s="6" t="s">
        <v>102</v>
      </c>
    </row>
    <row r="63" spans="1:3" ht="15" customHeight="1" x14ac:dyDescent="0.35">
      <c r="B63" s="6" t="s">
        <v>103</v>
      </c>
    </row>
    <row r="64" spans="1:3" ht="15" customHeight="1" x14ac:dyDescent="0.35">
      <c r="B64" s="6" t="s">
        <v>67</v>
      </c>
    </row>
    <row r="65" spans="1:3" ht="30" customHeight="1" x14ac:dyDescent="0.35">
      <c r="A65" s="2" t="s">
        <v>104</v>
      </c>
      <c r="B65" s="2" t="s">
        <v>105</v>
      </c>
      <c r="C65" s="5"/>
    </row>
    <row r="66" spans="1:3" ht="15" customHeight="1" x14ac:dyDescent="0.35">
      <c r="B66" s="6" t="s">
        <v>106</v>
      </c>
    </row>
    <row r="67" spans="1:3" ht="15" customHeight="1" x14ac:dyDescent="0.35">
      <c r="B67" s="6" t="s">
        <v>107</v>
      </c>
    </row>
    <row r="68" spans="1:3" ht="15" customHeight="1" x14ac:dyDescent="0.35">
      <c r="B68" s="6" t="s">
        <v>108</v>
      </c>
    </row>
    <row r="69" spans="1:3" ht="15" customHeight="1" x14ac:dyDescent="0.35">
      <c r="B69" s="6" t="s">
        <v>103</v>
      </c>
    </row>
    <row r="70" spans="1:3" ht="15" customHeight="1" x14ac:dyDescent="0.35">
      <c r="B70" s="6" t="s">
        <v>67</v>
      </c>
    </row>
    <row r="71" spans="1:3" ht="15" customHeight="1" x14ac:dyDescent="0.35">
      <c r="A71" s="2" t="s">
        <v>109</v>
      </c>
      <c r="B71" s="2" t="s">
        <v>110</v>
      </c>
      <c r="C71" s="5"/>
    </row>
    <row r="72" spans="1:3" ht="15" customHeight="1" x14ac:dyDescent="0.35">
      <c r="B72" s="6" t="s">
        <v>111</v>
      </c>
    </row>
    <row r="73" spans="1:3" ht="15" customHeight="1" x14ac:dyDescent="0.35">
      <c r="B73" s="6" t="s">
        <v>112</v>
      </c>
    </row>
    <row r="74" spans="1:3" ht="15" customHeight="1" x14ac:dyDescent="0.35">
      <c r="B74" s="6" t="s">
        <v>113</v>
      </c>
    </row>
    <row r="75" spans="1:3" ht="15" customHeight="1" x14ac:dyDescent="0.35">
      <c r="B75" s="6" t="s">
        <v>114</v>
      </c>
    </row>
    <row r="76" spans="1:3" ht="15" customHeight="1" x14ac:dyDescent="0.35">
      <c r="B76" s="6" t="s">
        <v>67</v>
      </c>
    </row>
    <row r="77" spans="1:3" ht="30" customHeight="1" x14ac:dyDescent="0.35">
      <c r="A77" s="2" t="s">
        <v>115</v>
      </c>
      <c r="B77" s="2" t="s">
        <v>116</v>
      </c>
      <c r="C77" s="5"/>
    </row>
    <row r="78" spans="1:3" ht="15" customHeight="1" x14ac:dyDescent="0.35">
      <c r="B78" s="6" t="s">
        <v>117</v>
      </c>
    </row>
    <row r="79" spans="1:3" ht="15" customHeight="1" x14ac:dyDescent="0.35">
      <c r="B79" s="6" t="s">
        <v>118</v>
      </c>
    </row>
    <row r="80" spans="1:3" ht="15" customHeight="1" x14ac:dyDescent="0.35">
      <c r="B80" s="6" t="s">
        <v>119</v>
      </c>
    </row>
    <row r="81" spans="1:3" ht="15" customHeight="1" x14ac:dyDescent="0.35">
      <c r="B81" s="6" t="s">
        <v>120</v>
      </c>
    </row>
    <row r="82" spans="1:3" ht="15" customHeight="1" x14ac:dyDescent="0.35">
      <c r="B82" s="6" t="s">
        <v>67</v>
      </c>
    </row>
    <row r="83" spans="1:3" ht="30" customHeight="1" x14ac:dyDescent="0.35">
      <c r="A83" s="2" t="s">
        <v>121</v>
      </c>
      <c r="B83" s="2" t="s">
        <v>122</v>
      </c>
      <c r="C83" s="5"/>
    </row>
    <row r="84" spans="1:3" ht="15" customHeight="1" x14ac:dyDescent="0.35">
      <c r="B84" s="6" t="s">
        <v>123</v>
      </c>
    </row>
    <row r="85" spans="1:3" ht="15" customHeight="1" x14ac:dyDescent="0.35">
      <c r="B85" s="6" t="s">
        <v>124</v>
      </c>
    </row>
    <row r="86" spans="1:3" ht="15" customHeight="1" x14ac:dyDescent="0.35">
      <c r="B86" s="6" t="s">
        <v>125</v>
      </c>
    </row>
    <row r="87" spans="1:3" ht="15" customHeight="1" x14ac:dyDescent="0.35">
      <c r="B87" s="6" t="s">
        <v>126</v>
      </c>
    </row>
    <row r="88" spans="1:3" ht="15" customHeight="1" x14ac:dyDescent="0.35">
      <c r="B88" s="6" t="s">
        <v>67</v>
      </c>
    </row>
    <row r="89" spans="1:3" ht="15" customHeight="1" x14ac:dyDescent="0.35">
      <c r="A89" s="2" t="s">
        <v>127</v>
      </c>
      <c r="B89" s="2" t="s">
        <v>128</v>
      </c>
      <c r="C89" s="5"/>
    </row>
    <row r="90" spans="1:3" ht="15" customHeight="1" x14ac:dyDescent="0.35">
      <c r="B90" s="6" t="s">
        <v>129</v>
      </c>
    </row>
    <row r="91" spans="1:3" ht="15" customHeight="1" x14ac:dyDescent="0.35">
      <c r="B91" s="6" t="s">
        <v>130</v>
      </c>
    </row>
    <row r="92" spans="1:3" ht="15" customHeight="1" x14ac:dyDescent="0.35">
      <c r="B92" s="6" t="s">
        <v>131</v>
      </c>
    </row>
    <row r="93" spans="1:3" ht="30" customHeight="1" x14ac:dyDescent="0.35">
      <c r="B93" s="6" t="s">
        <v>132</v>
      </c>
    </row>
    <row r="94" spans="1:3" ht="15" customHeight="1" x14ac:dyDescent="0.35">
      <c r="B94" s="6" t="s">
        <v>67</v>
      </c>
    </row>
    <row r="97" spans="1:1" ht="52" x14ac:dyDescent="0.35">
      <c r="A97" s="4" t="s">
        <v>133</v>
      </c>
    </row>
  </sheetData>
  <mergeCells count="5">
    <mergeCell ref="A1:C1"/>
    <mergeCell ref="A6:C6"/>
    <mergeCell ref="A22:C22"/>
    <mergeCell ref="A12:C12"/>
    <mergeCell ref="A2:C2"/>
  </mergeCells>
  <dataValidations count="2">
    <dataValidation type="whole" allowBlank="1" errorTitle="Valor no válido" error="Escribe un número entero de 1 a 5." sqref="C8 C9 C10 C13 C14 C15 C16 C17 C18 C19 C20" xr:uid="{00000000-0002-0000-0100-000000000000}">
      <formula1>1</formula1>
      <formula2>5</formula2>
    </dataValidation>
    <dataValidation type="list" allowBlank="1" errorTitle="Valor no válido" error="Escribe A, B, C, D o E." sqref="C23 C29 C35 C41 C47 C53 C59 C65 C71 C77 C83 C89" xr:uid="{00000000-0002-0000-0100-000001000000}">
      <formula1>"A,B,C,D,E"</formula1>
    </dataValidation>
  </dataValidations>
  <pageMargins left="0.75" right="0.75" top="1" bottom="1" header="0.5" footer="0.5"/>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10"/>
  <sheetViews>
    <sheetView workbookViewId="0">
      <pane ySplit="3" topLeftCell="A4" activePane="bottomLeft" state="frozen"/>
      <selection pane="bottomLeft"/>
    </sheetView>
  </sheetViews>
  <sheetFormatPr baseColWidth="10" defaultColWidth="8.7265625" defaultRowHeight="14.5" x14ac:dyDescent="0.35"/>
  <cols>
    <col min="1" max="1" width="7" customWidth="1"/>
    <col min="2" max="2" width="92" customWidth="1"/>
    <col min="3" max="3" width="16" customWidth="1"/>
  </cols>
  <sheetData>
    <row r="1" spans="1:3" x14ac:dyDescent="0.35">
      <c r="A1" s="28" t="s">
        <v>134</v>
      </c>
      <c r="B1" s="29"/>
      <c r="C1" s="29"/>
    </row>
    <row r="2" spans="1:3" ht="30" customHeight="1" x14ac:dyDescent="0.35">
      <c r="A2" s="31" t="s">
        <v>135</v>
      </c>
      <c r="B2" s="29"/>
      <c r="C2" s="29"/>
    </row>
    <row r="4" spans="1:3" ht="30" customHeight="1" x14ac:dyDescent="0.35">
      <c r="A4" s="2" t="s">
        <v>32</v>
      </c>
      <c r="B4" s="3" t="s">
        <v>33</v>
      </c>
      <c r="C4" s="5"/>
    </row>
    <row r="6" spans="1:3" ht="34" customHeight="1" x14ac:dyDescent="0.35">
      <c r="A6" s="30" t="s">
        <v>43</v>
      </c>
      <c r="B6" s="29"/>
      <c r="C6" s="29"/>
    </row>
    <row r="7" spans="1:3" x14ac:dyDescent="0.35">
      <c r="A7" s="10" t="s">
        <v>44</v>
      </c>
      <c r="B7" s="3" t="s">
        <v>45</v>
      </c>
      <c r="C7" s="5"/>
    </row>
    <row r="8" spans="1:3" x14ac:dyDescent="0.35">
      <c r="A8" s="10" t="s">
        <v>46</v>
      </c>
      <c r="B8" s="3" t="s">
        <v>47</v>
      </c>
      <c r="C8" s="5"/>
    </row>
    <row r="9" spans="1:3" x14ac:dyDescent="0.35">
      <c r="A9" s="10" t="s">
        <v>48</v>
      </c>
      <c r="B9" s="3" t="s">
        <v>49</v>
      </c>
      <c r="C9" s="5"/>
    </row>
    <row r="10" spans="1:3" x14ac:dyDescent="0.35">
      <c r="A10" s="10" t="s">
        <v>50</v>
      </c>
      <c r="B10" s="3" t="s">
        <v>51</v>
      </c>
      <c r="C10" s="5"/>
    </row>
    <row r="11" spans="1:3" x14ac:dyDescent="0.35">
      <c r="A11" s="10" t="s">
        <v>52</v>
      </c>
      <c r="B11" s="3" t="s">
        <v>53</v>
      </c>
      <c r="C11" s="5"/>
    </row>
    <row r="12" spans="1:3" x14ac:dyDescent="0.35">
      <c r="A12" s="10" t="s">
        <v>54</v>
      </c>
      <c r="B12" s="3" t="s">
        <v>55</v>
      </c>
      <c r="C12" s="5"/>
    </row>
    <row r="13" spans="1:3" x14ac:dyDescent="0.35">
      <c r="A13" s="10" t="s">
        <v>56</v>
      </c>
      <c r="B13" s="3" t="s">
        <v>57</v>
      </c>
      <c r="C13" s="5"/>
    </row>
    <row r="14" spans="1:3" x14ac:dyDescent="0.35">
      <c r="A14" s="10" t="s">
        <v>58</v>
      </c>
      <c r="B14" s="3" t="s">
        <v>59</v>
      </c>
      <c r="C14" s="5"/>
    </row>
    <row r="16" spans="1:3" ht="20" customHeight="1" x14ac:dyDescent="0.35">
      <c r="A16" s="30" t="s">
        <v>60</v>
      </c>
      <c r="B16" s="29"/>
      <c r="C16" s="29"/>
    </row>
    <row r="17" spans="1:3" ht="30" customHeight="1" x14ac:dyDescent="0.35">
      <c r="A17" s="2" t="s">
        <v>61</v>
      </c>
      <c r="B17" s="2" t="s">
        <v>62</v>
      </c>
      <c r="C17" s="5"/>
    </row>
    <row r="18" spans="1:3" ht="15" customHeight="1" x14ac:dyDescent="0.35">
      <c r="B18" s="6" t="s">
        <v>63</v>
      </c>
    </row>
    <row r="19" spans="1:3" ht="15" customHeight="1" x14ac:dyDescent="0.35">
      <c r="B19" s="6" t="s">
        <v>64</v>
      </c>
    </row>
    <row r="20" spans="1:3" ht="15" customHeight="1" x14ac:dyDescent="0.35">
      <c r="B20" s="6" t="s">
        <v>65</v>
      </c>
    </row>
    <row r="21" spans="1:3" ht="15" customHeight="1" x14ac:dyDescent="0.35">
      <c r="B21" s="6" t="s">
        <v>66</v>
      </c>
    </row>
    <row r="22" spans="1:3" ht="15" customHeight="1" x14ac:dyDescent="0.35">
      <c r="B22" s="6" t="s">
        <v>67</v>
      </c>
    </row>
    <row r="23" spans="1:3" ht="15" customHeight="1" x14ac:dyDescent="0.35">
      <c r="A23" s="2" t="s">
        <v>68</v>
      </c>
      <c r="B23" s="2" t="s">
        <v>69</v>
      </c>
      <c r="C23" s="5"/>
    </row>
    <row r="24" spans="1:3" ht="15" customHeight="1" x14ac:dyDescent="0.35">
      <c r="B24" s="6" t="s">
        <v>70</v>
      </c>
    </row>
    <row r="25" spans="1:3" ht="15" customHeight="1" x14ac:dyDescent="0.35">
      <c r="B25" s="6" t="s">
        <v>71</v>
      </c>
    </row>
    <row r="26" spans="1:3" ht="30" customHeight="1" x14ac:dyDescent="0.35">
      <c r="B26" s="6" t="s">
        <v>72</v>
      </c>
    </row>
    <row r="27" spans="1:3" ht="15" customHeight="1" x14ac:dyDescent="0.35">
      <c r="B27" s="6" t="s">
        <v>73</v>
      </c>
    </row>
    <row r="28" spans="1:3" ht="15" customHeight="1" x14ac:dyDescent="0.35">
      <c r="B28" s="6" t="s">
        <v>67</v>
      </c>
    </row>
    <row r="29" spans="1:3" ht="15" customHeight="1" x14ac:dyDescent="0.35">
      <c r="A29" s="2" t="s">
        <v>74</v>
      </c>
      <c r="B29" s="2" t="s">
        <v>75</v>
      </c>
      <c r="C29" s="5"/>
    </row>
    <row r="30" spans="1:3" ht="15" customHeight="1" x14ac:dyDescent="0.35">
      <c r="B30" s="6" t="s">
        <v>76</v>
      </c>
    </row>
    <row r="31" spans="1:3" ht="15" customHeight="1" x14ac:dyDescent="0.35">
      <c r="B31" s="6" t="s">
        <v>77</v>
      </c>
    </row>
    <row r="32" spans="1:3" ht="15" customHeight="1" x14ac:dyDescent="0.35">
      <c r="B32" s="6" t="s">
        <v>78</v>
      </c>
    </row>
    <row r="33" spans="1:3" ht="15" customHeight="1" x14ac:dyDescent="0.35">
      <c r="B33" s="6" t="s">
        <v>79</v>
      </c>
    </row>
    <row r="34" spans="1:3" ht="15" customHeight="1" x14ac:dyDescent="0.35">
      <c r="B34" s="6" t="s">
        <v>67</v>
      </c>
    </row>
    <row r="35" spans="1:3" ht="30" customHeight="1" x14ac:dyDescent="0.35">
      <c r="A35" s="2" t="s">
        <v>80</v>
      </c>
      <c r="B35" s="2" t="s">
        <v>81</v>
      </c>
      <c r="C35" s="5"/>
    </row>
    <row r="36" spans="1:3" ht="15" customHeight="1" x14ac:dyDescent="0.35">
      <c r="B36" s="6" t="s">
        <v>82</v>
      </c>
    </row>
    <row r="37" spans="1:3" ht="15" customHeight="1" x14ac:dyDescent="0.35">
      <c r="B37" s="6" t="s">
        <v>83</v>
      </c>
    </row>
    <row r="38" spans="1:3" ht="15" customHeight="1" x14ac:dyDescent="0.35">
      <c r="B38" s="6" t="s">
        <v>84</v>
      </c>
    </row>
    <row r="39" spans="1:3" ht="15" customHeight="1" x14ac:dyDescent="0.35">
      <c r="B39" s="6" t="s">
        <v>85</v>
      </c>
    </row>
    <row r="40" spans="1:3" ht="15" customHeight="1" x14ac:dyDescent="0.35">
      <c r="B40" s="6" t="s">
        <v>67</v>
      </c>
    </row>
    <row r="41" spans="1:3" ht="30" customHeight="1" x14ac:dyDescent="0.35">
      <c r="A41" s="2" t="s">
        <v>86</v>
      </c>
      <c r="B41" s="2" t="s">
        <v>87</v>
      </c>
      <c r="C41" s="5"/>
    </row>
    <row r="42" spans="1:3" ht="15" customHeight="1" x14ac:dyDescent="0.35">
      <c r="B42" s="6" t="s">
        <v>88</v>
      </c>
    </row>
    <row r="43" spans="1:3" ht="15" customHeight="1" x14ac:dyDescent="0.35">
      <c r="B43" s="6" t="s">
        <v>89</v>
      </c>
    </row>
    <row r="44" spans="1:3" ht="15" customHeight="1" x14ac:dyDescent="0.35">
      <c r="B44" s="6" t="s">
        <v>90</v>
      </c>
    </row>
    <row r="45" spans="1:3" ht="15" customHeight="1" x14ac:dyDescent="0.35">
      <c r="B45" s="6" t="s">
        <v>91</v>
      </c>
    </row>
    <row r="46" spans="1:3" ht="15" customHeight="1" x14ac:dyDescent="0.35">
      <c r="B46" s="6" t="s">
        <v>67</v>
      </c>
    </row>
    <row r="47" spans="1:3" ht="15" customHeight="1" x14ac:dyDescent="0.35">
      <c r="A47" s="2" t="s">
        <v>92</v>
      </c>
      <c r="B47" s="2" t="s">
        <v>93</v>
      </c>
      <c r="C47" s="5"/>
    </row>
    <row r="48" spans="1:3" ht="15" customHeight="1" x14ac:dyDescent="0.35">
      <c r="B48" s="6" t="s">
        <v>94</v>
      </c>
    </row>
    <row r="49" spans="1:3" ht="15" customHeight="1" x14ac:dyDescent="0.35">
      <c r="B49" s="6" t="s">
        <v>95</v>
      </c>
    </row>
    <row r="50" spans="1:3" ht="15" customHeight="1" x14ac:dyDescent="0.35">
      <c r="B50" s="6" t="s">
        <v>96</v>
      </c>
    </row>
    <row r="51" spans="1:3" ht="15" customHeight="1" x14ac:dyDescent="0.35">
      <c r="B51" s="6" t="s">
        <v>97</v>
      </c>
    </row>
    <row r="52" spans="1:3" ht="15" customHeight="1" x14ac:dyDescent="0.35">
      <c r="B52" s="6" t="s">
        <v>67</v>
      </c>
    </row>
    <row r="53" spans="1:3" ht="30" customHeight="1" x14ac:dyDescent="0.35">
      <c r="A53" s="2" t="s">
        <v>98</v>
      </c>
      <c r="B53" s="2" t="s">
        <v>99</v>
      </c>
      <c r="C53" s="5"/>
    </row>
    <row r="54" spans="1:3" ht="15" customHeight="1" x14ac:dyDescent="0.35">
      <c r="B54" s="6" t="s">
        <v>100</v>
      </c>
    </row>
    <row r="55" spans="1:3" ht="15" customHeight="1" x14ac:dyDescent="0.35">
      <c r="B55" s="6" t="s">
        <v>101</v>
      </c>
    </row>
    <row r="56" spans="1:3" ht="15" customHeight="1" x14ac:dyDescent="0.35">
      <c r="B56" s="6" t="s">
        <v>102</v>
      </c>
    </row>
    <row r="57" spans="1:3" ht="15" customHeight="1" x14ac:dyDescent="0.35">
      <c r="B57" s="6" t="s">
        <v>103</v>
      </c>
    </row>
    <row r="58" spans="1:3" ht="15" customHeight="1" x14ac:dyDescent="0.35">
      <c r="B58" s="6" t="s">
        <v>67</v>
      </c>
    </row>
    <row r="59" spans="1:3" ht="30" customHeight="1" x14ac:dyDescent="0.35">
      <c r="A59" s="2" t="s">
        <v>104</v>
      </c>
      <c r="B59" s="2" t="s">
        <v>105</v>
      </c>
      <c r="C59" s="5"/>
    </row>
    <row r="60" spans="1:3" ht="15" customHeight="1" x14ac:dyDescent="0.35">
      <c r="B60" s="6" t="s">
        <v>106</v>
      </c>
    </row>
    <row r="61" spans="1:3" ht="15" customHeight="1" x14ac:dyDescent="0.35">
      <c r="B61" s="6" t="s">
        <v>107</v>
      </c>
    </row>
    <row r="62" spans="1:3" ht="15" customHeight="1" x14ac:dyDescent="0.35">
      <c r="B62" s="6" t="s">
        <v>108</v>
      </c>
    </row>
    <row r="63" spans="1:3" ht="15" customHeight="1" x14ac:dyDescent="0.35">
      <c r="B63" s="6" t="s">
        <v>103</v>
      </c>
    </row>
    <row r="64" spans="1:3" ht="15" customHeight="1" x14ac:dyDescent="0.35">
      <c r="B64" s="6" t="s">
        <v>67</v>
      </c>
    </row>
    <row r="65" spans="1:3" ht="15" customHeight="1" x14ac:dyDescent="0.35">
      <c r="A65" s="2" t="s">
        <v>109</v>
      </c>
      <c r="B65" s="2" t="s">
        <v>110</v>
      </c>
      <c r="C65" s="5"/>
    </row>
    <row r="66" spans="1:3" ht="15" customHeight="1" x14ac:dyDescent="0.35">
      <c r="B66" s="6" t="s">
        <v>111</v>
      </c>
    </row>
    <row r="67" spans="1:3" ht="15" customHeight="1" x14ac:dyDescent="0.35">
      <c r="B67" s="6" t="s">
        <v>112</v>
      </c>
    </row>
    <row r="68" spans="1:3" ht="15" customHeight="1" x14ac:dyDescent="0.35">
      <c r="B68" s="6" t="s">
        <v>113</v>
      </c>
    </row>
    <row r="69" spans="1:3" ht="15" customHeight="1" x14ac:dyDescent="0.35">
      <c r="B69" s="6" t="s">
        <v>114</v>
      </c>
    </row>
    <row r="70" spans="1:3" ht="15" customHeight="1" x14ac:dyDescent="0.35">
      <c r="B70" s="6" t="s">
        <v>67</v>
      </c>
    </row>
    <row r="71" spans="1:3" ht="30" customHeight="1" x14ac:dyDescent="0.35">
      <c r="A71" s="2" t="s">
        <v>115</v>
      </c>
      <c r="B71" s="2" t="s">
        <v>116</v>
      </c>
      <c r="C71" s="5"/>
    </row>
    <row r="72" spans="1:3" ht="15" customHeight="1" x14ac:dyDescent="0.35">
      <c r="B72" s="6" t="s">
        <v>117</v>
      </c>
    </row>
    <row r="73" spans="1:3" ht="15" customHeight="1" x14ac:dyDescent="0.35">
      <c r="B73" s="6" t="s">
        <v>118</v>
      </c>
    </row>
    <row r="74" spans="1:3" ht="15" customHeight="1" x14ac:dyDescent="0.35">
      <c r="B74" s="6" t="s">
        <v>119</v>
      </c>
    </row>
    <row r="75" spans="1:3" ht="15" customHeight="1" x14ac:dyDescent="0.35">
      <c r="B75" s="6" t="s">
        <v>120</v>
      </c>
    </row>
    <row r="76" spans="1:3" ht="15" customHeight="1" x14ac:dyDescent="0.35">
      <c r="B76" s="6" t="s">
        <v>67</v>
      </c>
    </row>
    <row r="77" spans="1:3" ht="30" customHeight="1" x14ac:dyDescent="0.35">
      <c r="A77" s="2" t="s">
        <v>121</v>
      </c>
      <c r="B77" s="2" t="s">
        <v>122</v>
      </c>
      <c r="C77" s="5"/>
    </row>
    <row r="78" spans="1:3" ht="15" customHeight="1" x14ac:dyDescent="0.35">
      <c r="B78" s="6" t="s">
        <v>123</v>
      </c>
    </row>
    <row r="79" spans="1:3" ht="15" customHeight="1" x14ac:dyDescent="0.35">
      <c r="B79" s="6" t="s">
        <v>124</v>
      </c>
    </row>
    <row r="80" spans="1:3" ht="15" customHeight="1" x14ac:dyDescent="0.35">
      <c r="B80" s="6" t="s">
        <v>125</v>
      </c>
    </row>
    <row r="81" spans="1:3" ht="15" customHeight="1" x14ac:dyDescent="0.35">
      <c r="B81" s="6" t="s">
        <v>126</v>
      </c>
    </row>
    <row r="82" spans="1:3" ht="15" customHeight="1" x14ac:dyDescent="0.35">
      <c r="B82" s="6" t="s">
        <v>67</v>
      </c>
    </row>
    <row r="83" spans="1:3" ht="15" customHeight="1" x14ac:dyDescent="0.35">
      <c r="A83" s="2" t="s">
        <v>127</v>
      </c>
      <c r="B83" s="2" t="s">
        <v>128</v>
      </c>
      <c r="C83" s="5"/>
    </row>
    <row r="84" spans="1:3" ht="15" customHeight="1" x14ac:dyDescent="0.35">
      <c r="B84" s="6" t="s">
        <v>129</v>
      </c>
    </row>
    <row r="85" spans="1:3" ht="15" customHeight="1" x14ac:dyDescent="0.35">
      <c r="B85" s="6" t="s">
        <v>130</v>
      </c>
    </row>
    <row r="86" spans="1:3" ht="15" customHeight="1" x14ac:dyDescent="0.35">
      <c r="B86" s="6" t="s">
        <v>131</v>
      </c>
    </row>
    <row r="87" spans="1:3" ht="30" customHeight="1" x14ac:dyDescent="0.35">
      <c r="B87" s="6" t="s">
        <v>132</v>
      </c>
    </row>
    <row r="88" spans="1:3" ht="15" customHeight="1" x14ac:dyDescent="0.35">
      <c r="B88" s="6" t="s">
        <v>67</v>
      </c>
    </row>
    <row r="90" spans="1:3" ht="34" customHeight="1" x14ac:dyDescent="0.35">
      <c r="A90" s="30" t="s">
        <v>136</v>
      </c>
      <c r="B90" s="29"/>
      <c r="C90" s="29"/>
    </row>
    <row r="91" spans="1:3" ht="15" customHeight="1" x14ac:dyDescent="0.35">
      <c r="A91" s="10" t="s">
        <v>137</v>
      </c>
      <c r="B91" s="3" t="s">
        <v>138</v>
      </c>
      <c r="C91" s="5"/>
    </row>
    <row r="92" spans="1:3" ht="15" customHeight="1" x14ac:dyDescent="0.35">
      <c r="A92" s="10" t="s">
        <v>139</v>
      </c>
      <c r="B92" s="3" t="s">
        <v>140</v>
      </c>
      <c r="C92" s="5"/>
    </row>
    <row r="93" spans="1:3" ht="15" customHeight="1" x14ac:dyDescent="0.35">
      <c r="A93" s="10" t="s">
        <v>141</v>
      </c>
      <c r="B93" s="3" t="s">
        <v>142</v>
      </c>
      <c r="C93" s="5"/>
    </row>
    <row r="94" spans="1:3" ht="30" customHeight="1" x14ac:dyDescent="0.35">
      <c r="A94" s="10" t="s">
        <v>143</v>
      </c>
      <c r="B94" s="3" t="s">
        <v>144</v>
      </c>
      <c r="C94" s="5"/>
    </row>
    <row r="95" spans="1:3" ht="15" customHeight="1" x14ac:dyDescent="0.35">
      <c r="A95" s="10" t="s">
        <v>145</v>
      </c>
      <c r="B95" s="3" t="s">
        <v>146</v>
      </c>
      <c r="C95" s="5"/>
    </row>
    <row r="96" spans="1:3" ht="15" customHeight="1" x14ac:dyDescent="0.35">
      <c r="A96" s="10" t="s">
        <v>147</v>
      </c>
      <c r="B96" s="3" t="s">
        <v>148</v>
      </c>
      <c r="C96" s="5"/>
    </row>
    <row r="97" spans="1:3" ht="15" customHeight="1" x14ac:dyDescent="0.35">
      <c r="A97" s="10" t="s">
        <v>149</v>
      </c>
      <c r="B97" s="3" t="s">
        <v>150</v>
      </c>
      <c r="C97" s="5"/>
    </row>
    <row r="98" spans="1:3" ht="15" customHeight="1" x14ac:dyDescent="0.35">
      <c r="A98" s="10" t="s">
        <v>151</v>
      </c>
      <c r="B98" s="3" t="s">
        <v>152</v>
      </c>
      <c r="C98" s="5"/>
    </row>
    <row r="99" spans="1:3" ht="15" customHeight="1" x14ac:dyDescent="0.35">
      <c r="A99" s="10" t="s">
        <v>153</v>
      </c>
      <c r="B99" s="3" t="s">
        <v>154</v>
      </c>
      <c r="C99" s="5"/>
    </row>
    <row r="100" spans="1:3" ht="15" customHeight="1" x14ac:dyDescent="0.35">
      <c r="A100" s="10" t="s">
        <v>155</v>
      </c>
      <c r="B100" s="3" t="s">
        <v>156</v>
      </c>
      <c r="C100" s="5"/>
    </row>
    <row r="102" spans="1:3" ht="20" customHeight="1" x14ac:dyDescent="0.35">
      <c r="A102" s="30" t="s">
        <v>157</v>
      </c>
      <c r="B102" s="29"/>
      <c r="C102" s="29"/>
    </row>
    <row r="103" spans="1:3" x14ac:dyDescent="0.35">
      <c r="A103" s="10" t="s">
        <v>158</v>
      </c>
      <c r="B103" s="3" t="s">
        <v>159</v>
      </c>
    </row>
    <row r="104" spans="1:3" ht="45" customHeight="1" x14ac:dyDescent="0.35">
      <c r="A104" s="32"/>
      <c r="B104" s="29"/>
      <c r="C104" s="29"/>
    </row>
    <row r="105" spans="1:3" x14ac:dyDescent="0.35">
      <c r="A105" s="10" t="s">
        <v>160</v>
      </c>
      <c r="B105" s="3" t="s">
        <v>161</v>
      </c>
    </row>
    <row r="106" spans="1:3" ht="45" customHeight="1" x14ac:dyDescent="0.35">
      <c r="A106" s="32"/>
      <c r="B106" s="29"/>
      <c r="C106" s="29"/>
    </row>
    <row r="107" spans="1:3" x14ac:dyDescent="0.35">
      <c r="A107" s="10" t="s">
        <v>162</v>
      </c>
      <c r="B107" s="3" t="s">
        <v>163</v>
      </c>
    </row>
    <row r="108" spans="1:3" ht="45" customHeight="1" x14ac:dyDescent="0.35">
      <c r="A108" s="32"/>
      <c r="B108" s="29"/>
      <c r="C108" s="29"/>
    </row>
    <row r="110" spans="1:3" ht="52" x14ac:dyDescent="0.35">
      <c r="A110" s="4" t="s">
        <v>133</v>
      </c>
    </row>
  </sheetData>
  <mergeCells count="9">
    <mergeCell ref="A90:C90"/>
    <mergeCell ref="A108:C108"/>
    <mergeCell ref="A102:C102"/>
    <mergeCell ref="A1:C1"/>
    <mergeCell ref="A2:C2"/>
    <mergeCell ref="A6:C6"/>
    <mergeCell ref="A106:C106"/>
    <mergeCell ref="A16:C16"/>
    <mergeCell ref="A104:C104"/>
  </mergeCells>
  <dataValidations count="2">
    <dataValidation type="whole" allowBlank="1" errorTitle="Valor no válido" error="Escribe un número entero de 1 a 5." sqref="C7 C8 C9 C10 C11 C12 C13 C14 C91 C92 C93 C94 C95 C96 C97 C98 C99 C100" xr:uid="{00000000-0002-0000-0200-000000000000}">
      <formula1>1</formula1>
      <formula2>5</formula2>
    </dataValidation>
    <dataValidation type="list" allowBlank="1" errorTitle="Valor no válido" error="Escribe A, B, C, D o E." sqref="C17 C23 C29 C35 C41 C47 C53 C59 C65 C71 C77 C83" xr:uid="{00000000-0002-0000-0200-000001000000}">
      <formula1>"A,B,C,D,E"</formula1>
    </dataValidation>
  </dataValidations>
  <pageMargins left="0.75" right="0.75" top="1" bottom="1" header="0.5" footer="0.5"/>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pane ySplit="5" topLeftCell="A6" activePane="bottomLeft" state="frozen"/>
      <selection pane="bottomLeft"/>
    </sheetView>
  </sheetViews>
  <sheetFormatPr baseColWidth="10" defaultColWidth="8.7265625" defaultRowHeight="14.5" x14ac:dyDescent="0.35"/>
  <cols>
    <col min="1" max="1" width="8" customWidth="1"/>
    <col min="2" max="2" width="30" customWidth="1"/>
    <col min="3" max="4" width="12" customWidth="1"/>
    <col min="5" max="5" width="70" customWidth="1"/>
    <col min="6" max="6" width="14" customWidth="1"/>
    <col min="7" max="7" width="12" customWidth="1"/>
  </cols>
  <sheetData>
    <row r="1" spans="1:7" x14ac:dyDescent="0.35">
      <c r="A1" s="28" t="s">
        <v>164</v>
      </c>
      <c r="B1" s="29"/>
      <c r="C1" s="29"/>
      <c r="D1" s="29"/>
      <c r="E1" s="29"/>
      <c r="F1" s="29"/>
      <c r="G1" s="29"/>
    </row>
    <row r="3" spans="1:7" ht="26" x14ac:dyDescent="0.35">
      <c r="A3" s="2" t="s">
        <v>165</v>
      </c>
      <c r="B3" s="11" t="s">
        <v>166</v>
      </c>
      <c r="C3" s="31" t="s">
        <v>167</v>
      </c>
      <c r="D3" s="29"/>
      <c r="E3" s="29"/>
      <c r="F3" s="29"/>
      <c r="G3" s="29"/>
    </row>
    <row r="5" spans="1:7" ht="42" customHeight="1" x14ac:dyDescent="0.35">
      <c r="A5" s="12" t="s">
        <v>168</v>
      </c>
      <c r="B5" s="12" t="s">
        <v>169</v>
      </c>
      <c r="C5" s="12" t="s">
        <v>170</v>
      </c>
      <c r="D5" s="12" t="s">
        <v>171</v>
      </c>
      <c r="E5" s="12" t="s">
        <v>172</v>
      </c>
      <c r="F5" s="12" t="s">
        <v>173</v>
      </c>
      <c r="G5" s="12" t="s">
        <v>174</v>
      </c>
    </row>
    <row r="6" spans="1:7" ht="28" customHeight="1" x14ac:dyDescent="0.35">
      <c r="A6" s="13" t="s">
        <v>61</v>
      </c>
      <c r="B6" s="3" t="s">
        <v>175</v>
      </c>
      <c r="C6" s="14">
        <v>2</v>
      </c>
      <c r="D6" s="13" t="s">
        <v>176</v>
      </c>
      <c r="E6" s="3" t="s">
        <v>177</v>
      </c>
      <c r="F6" s="14" t="s">
        <v>178</v>
      </c>
      <c r="G6" s="14" t="str">
        <f t="shared" ref="G6:G17" si="0">IF($B$3="Rápido",F6,"Sí")</f>
        <v>Sí</v>
      </c>
    </row>
    <row r="7" spans="1:7" ht="28" customHeight="1" x14ac:dyDescent="0.35">
      <c r="A7" s="13" t="s">
        <v>68</v>
      </c>
      <c r="B7" s="3" t="s">
        <v>179</v>
      </c>
      <c r="C7" s="14">
        <v>2</v>
      </c>
      <c r="D7" s="13" t="s">
        <v>180</v>
      </c>
      <c r="E7" s="3" t="s">
        <v>181</v>
      </c>
      <c r="F7" s="14" t="s">
        <v>178</v>
      </c>
      <c r="G7" s="14" t="str">
        <f t="shared" si="0"/>
        <v>Sí</v>
      </c>
    </row>
    <row r="8" spans="1:7" ht="28" customHeight="1" x14ac:dyDescent="0.35">
      <c r="A8" s="13" t="s">
        <v>74</v>
      </c>
      <c r="B8" s="3" t="s">
        <v>182</v>
      </c>
      <c r="C8" s="14">
        <v>2</v>
      </c>
      <c r="D8" s="13" t="s">
        <v>183</v>
      </c>
      <c r="E8" s="3" t="s">
        <v>184</v>
      </c>
      <c r="F8" s="14" t="s">
        <v>178</v>
      </c>
      <c r="G8" s="14" t="str">
        <f t="shared" si="0"/>
        <v>Sí</v>
      </c>
    </row>
    <row r="9" spans="1:7" ht="28" customHeight="1" x14ac:dyDescent="0.35">
      <c r="A9" s="13" t="s">
        <v>80</v>
      </c>
      <c r="B9" s="3" t="s">
        <v>185</v>
      </c>
      <c r="C9" s="14">
        <v>2</v>
      </c>
      <c r="D9" s="13" t="s">
        <v>186</v>
      </c>
      <c r="E9" s="3" t="s">
        <v>187</v>
      </c>
      <c r="F9" s="14" t="s">
        <v>178</v>
      </c>
      <c r="G9" s="14" t="str">
        <f t="shared" si="0"/>
        <v>Sí</v>
      </c>
    </row>
    <row r="10" spans="1:7" ht="28" customHeight="1" x14ac:dyDescent="0.35">
      <c r="A10" s="13" t="s">
        <v>86</v>
      </c>
      <c r="B10" s="3" t="s">
        <v>188</v>
      </c>
      <c r="C10" s="14">
        <v>2</v>
      </c>
      <c r="D10" s="13" t="s">
        <v>176</v>
      </c>
      <c r="E10" s="3" t="s">
        <v>189</v>
      </c>
      <c r="F10" s="14" t="s">
        <v>178</v>
      </c>
      <c r="G10" s="14" t="str">
        <f t="shared" si="0"/>
        <v>Sí</v>
      </c>
    </row>
    <row r="11" spans="1:7" ht="28" customHeight="1" x14ac:dyDescent="0.35">
      <c r="A11" s="13" t="s">
        <v>92</v>
      </c>
      <c r="B11" s="3" t="s">
        <v>190</v>
      </c>
      <c r="C11" s="14">
        <v>3</v>
      </c>
      <c r="D11" s="13" t="s">
        <v>183</v>
      </c>
      <c r="E11" s="3" t="s">
        <v>191</v>
      </c>
      <c r="F11" s="14" t="s">
        <v>178</v>
      </c>
      <c r="G11" s="14" t="str">
        <f t="shared" si="0"/>
        <v>Sí</v>
      </c>
    </row>
    <row r="12" spans="1:7" ht="28" customHeight="1" x14ac:dyDescent="0.35">
      <c r="A12" s="13" t="s">
        <v>98</v>
      </c>
      <c r="B12" s="3" t="s">
        <v>192</v>
      </c>
      <c r="C12" s="14">
        <v>4</v>
      </c>
      <c r="D12" s="13" t="s">
        <v>180</v>
      </c>
      <c r="E12" s="3" t="s">
        <v>193</v>
      </c>
      <c r="F12" s="14" t="s">
        <v>178</v>
      </c>
      <c r="G12" s="14" t="str">
        <f t="shared" si="0"/>
        <v>Sí</v>
      </c>
    </row>
    <row r="13" spans="1:7" ht="28" customHeight="1" x14ac:dyDescent="0.35">
      <c r="A13" s="13" t="s">
        <v>104</v>
      </c>
      <c r="B13" s="3" t="s">
        <v>194</v>
      </c>
      <c r="C13" s="14">
        <v>4</v>
      </c>
      <c r="D13" s="13" t="s">
        <v>186</v>
      </c>
      <c r="E13" s="3" t="s">
        <v>195</v>
      </c>
      <c r="F13" s="14" t="s">
        <v>196</v>
      </c>
      <c r="G13" s="14" t="str">
        <f t="shared" si="0"/>
        <v>Sí</v>
      </c>
    </row>
    <row r="14" spans="1:7" ht="28" customHeight="1" x14ac:dyDescent="0.35">
      <c r="A14" s="13" t="s">
        <v>109</v>
      </c>
      <c r="B14" s="3" t="s">
        <v>197</v>
      </c>
      <c r="C14" s="14">
        <v>1</v>
      </c>
      <c r="D14" s="13" t="s">
        <v>186</v>
      </c>
      <c r="E14" s="3" t="s">
        <v>198</v>
      </c>
      <c r="F14" s="14" t="s">
        <v>196</v>
      </c>
      <c r="G14" s="14" t="str">
        <f t="shared" si="0"/>
        <v>Sí</v>
      </c>
    </row>
    <row r="15" spans="1:7" ht="28" customHeight="1" x14ac:dyDescent="0.35">
      <c r="A15" s="13" t="s">
        <v>115</v>
      </c>
      <c r="B15" s="3" t="s">
        <v>199</v>
      </c>
      <c r="C15" s="14">
        <v>5</v>
      </c>
      <c r="D15" s="13" t="s">
        <v>176</v>
      </c>
      <c r="E15" s="3" t="s">
        <v>200</v>
      </c>
      <c r="F15" s="14" t="s">
        <v>196</v>
      </c>
      <c r="G15" s="14" t="str">
        <f t="shared" si="0"/>
        <v>Sí</v>
      </c>
    </row>
    <row r="16" spans="1:7" ht="28" customHeight="1" x14ac:dyDescent="0.35">
      <c r="A16" s="13" t="s">
        <v>121</v>
      </c>
      <c r="B16" s="3" t="s">
        <v>201</v>
      </c>
      <c r="C16" s="14">
        <v>5</v>
      </c>
      <c r="D16" s="13" t="s">
        <v>180</v>
      </c>
      <c r="E16" s="3" t="s">
        <v>202</v>
      </c>
      <c r="F16" s="14" t="s">
        <v>196</v>
      </c>
      <c r="G16" s="14" t="str">
        <f t="shared" si="0"/>
        <v>Sí</v>
      </c>
    </row>
    <row r="17" spans="1:7" ht="28" customHeight="1" x14ac:dyDescent="0.35">
      <c r="A17" s="13" t="s">
        <v>127</v>
      </c>
      <c r="B17" s="3" t="s">
        <v>203</v>
      </c>
      <c r="C17" s="14">
        <v>6</v>
      </c>
      <c r="D17" s="13" t="s">
        <v>183</v>
      </c>
      <c r="E17" s="3" t="s">
        <v>204</v>
      </c>
      <c r="F17" s="14" t="s">
        <v>178</v>
      </c>
      <c r="G17" s="14" t="str">
        <f t="shared" si="0"/>
        <v>Sí</v>
      </c>
    </row>
    <row r="19" spans="1:7" x14ac:dyDescent="0.35">
      <c r="A19" s="33" t="s">
        <v>205</v>
      </c>
      <c r="B19" s="34"/>
      <c r="C19" s="34"/>
      <c r="D19" s="34"/>
      <c r="E19" s="34"/>
      <c r="F19" s="35"/>
      <c r="G19" s="13">
        <f>COUNTIF(G6:G17,"Sí")</f>
        <v>12</v>
      </c>
    </row>
    <row r="21" spans="1:7" x14ac:dyDescent="0.35">
      <c r="A21" s="31" t="s">
        <v>206</v>
      </c>
      <c r="B21" s="29"/>
      <c r="C21" s="29"/>
      <c r="D21" s="29"/>
      <c r="E21" s="29"/>
      <c r="F21" s="29"/>
      <c r="G21" s="29"/>
    </row>
  </sheetData>
  <mergeCells count="4">
    <mergeCell ref="A19:F19"/>
    <mergeCell ref="A21:G21"/>
    <mergeCell ref="A1:G1"/>
    <mergeCell ref="C3:G3"/>
  </mergeCells>
  <dataValidations count="1">
    <dataValidation type="list" errorTitle="Valor no válido" error="Elige Completo o Rápido." sqref="B3" xr:uid="{00000000-0002-0000-0300-000000000000}">
      <formula1>"Completo,Rápido"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66"/>
  <sheetViews>
    <sheetView workbookViewId="0">
      <pane xSplit="1" ySplit="6" topLeftCell="B7" activePane="bottomRight" state="frozen"/>
      <selection pane="topRight"/>
      <selection pane="bottomLeft"/>
      <selection pane="bottomRight"/>
    </sheetView>
  </sheetViews>
  <sheetFormatPr baseColWidth="10" defaultColWidth="8.7265625" defaultRowHeight="14.5" x14ac:dyDescent="0.35"/>
  <cols>
    <col min="1" max="1" width="13" customWidth="1"/>
    <col min="2" max="2" width="22" customWidth="1"/>
    <col min="3" max="25" width="7" customWidth="1"/>
    <col min="26" max="26" width="10" customWidth="1"/>
    <col min="27" max="27" width="11" customWidth="1"/>
  </cols>
  <sheetData>
    <row r="1" spans="1:27" ht="108" x14ac:dyDescent="0.35">
      <c r="A1" s="1" t="s">
        <v>207</v>
      </c>
    </row>
    <row r="2" spans="1:27" x14ac:dyDescent="0.35">
      <c r="A2" s="15" t="s">
        <v>208</v>
      </c>
    </row>
    <row r="3" spans="1:27" ht="26" x14ac:dyDescent="0.35">
      <c r="A3" s="2" t="s">
        <v>171</v>
      </c>
      <c r="N3" s="13" t="str">
        <f>Clave!$D$6</f>
        <v>B</v>
      </c>
      <c r="O3" s="13" t="str">
        <f>Clave!$D$7</f>
        <v>C</v>
      </c>
      <c r="P3" s="13" t="str">
        <f>Clave!$D$8</f>
        <v>D</v>
      </c>
      <c r="Q3" s="13" t="str">
        <f>Clave!$D$9</f>
        <v>A</v>
      </c>
      <c r="R3" s="13" t="str">
        <f>Clave!$D$10</f>
        <v>B</v>
      </c>
      <c r="S3" s="13" t="str">
        <f>Clave!$D$11</f>
        <v>D</v>
      </c>
      <c r="T3" s="13" t="str">
        <f>Clave!$D$12</f>
        <v>C</v>
      </c>
      <c r="U3" s="13" t="str">
        <f>Clave!$D$13</f>
        <v>A</v>
      </c>
      <c r="V3" s="13" t="str">
        <f>Clave!$D$14</f>
        <v>A</v>
      </c>
      <c r="W3" s="13" t="str">
        <f>Clave!$D$15</f>
        <v>B</v>
      </c>
      <c r="X3" s="13" t="str">
        <f>Clave!$D$16</f>
        <v>C</v>
      </c>
      <c r="Y3" s="13" t="str">
        <f>Clave!$D$17</f>
        <v>D</v>
      </c>
    </row>
    <row r="4" spans="1:27" x14ac:dyDescent="0.35">
      <c r="A4" s="2" t="s">
        <v>209</v>
      </c>
      <c r="N4" s="14" t="str">
        <f>Clave!$G$6</f>
        <v>Sí</v>
      </c>
      <c r="O4" s="14" t="str">
        <f>Clave!$G$7</f>
        <v>Sí</v>
      </c>
      <c r="P4" s="14" t="str">
        <f>Clave!$G$8</f>
        <v>Sí</v>
      </c>
      <c r="Q4" s="14" t="str">
        <f>Clave!$G$9</f>
        <v>Sí</v>
      </c>
      <c r="R4" s="14" t="str">
        <f>Clave!$G$10</f>
        <v>Sí</v>
      </c>
      <c r="S4" s="14" t="str">
        <f>Clave!$G$11</f>
        <v>Sí</v>
      </c>
      <c r="T4" s="14" t="str">
        <f>Clave!$G$12</f>
        <v>Sí</v>
      </c>
      <c r="U4" s="14" t="str">
        <f>Clave!$G$13</f>
        <v>Sí</v>
      </c>
      <c r="V4" s="14" t="str">
        <f>Clave!$G$14</f>
        <v>Sí</v>
      </c>
      <c r="W4" s="14" t="str">
        <f>Clave!$G$15</f>
        <v>Sí</v>
      </c>
      <c r="X4" s="14" t="str">
        <f>Clave!$G$16</f>
        <v>Sí</v>
      </c>
      <c r="Y4" s="14" t="str">
        <f>Clave!$G$17</f>
        <v>Sí</v>
      </c>
    </row>
    <row r="5" spans="1:27" ht="30" customHeight="1" x14ac:dyDescent="0.35">
      <c r="A5" s="12" t="s">
        <v>32</v>
      </c>
      <c r="B5" s="12" t="s">
        <v>210</v>
      </c>
      <c r="C5" s="12" t="s">
        <v>37</v>
      </c>
      <c r="D5" s="12" t="s">
        <v>39</v>
      </c>
      <c r="E5" s="12" t="s">
        <v>41</v>
      </c>
      <c r="F5" s="12" t="s">
        <v>44</v>
      </c>
      <c r="G5" s="12" t="s">
        <v>46</v>
      </c>
      <c r="H5" s="12" t="s">
        <v>48</v>
      </c>
      <c r="I5" s="12" t="s">
        <v>50</v>
      </c>
      <c r="J5" s="12" t="s">
        <v>52</v>
      </c>
      <c r="K5" s="12" t="s">
        <v>54</v>
      </c>
      <c r="L5" s="12" t="s">
        <v>56</v>
      </c>
      <c r="M5" s="12" t="s">
        <v>58</v>
      </c>
      <c r="N5" s="12" t="s">
        <v>61</v>
      </c>
      <c r="O5" s="12" t="s">
        <v>68</v>
      </c>
      <c r="P5" s="12" t="s">
        <v>74</v>
      </c>
      <c r="Q5" s="12" t="s">
        <v>80</v>
      </c>
      <c r="R5" s="12" t="s">
        <v>86</v>
      </c>
      <c r="S5" s="12" t="s">
        <v>92</v>
      </c>
      <c r="T5" s="12" t="s">
        <v>98</v>
      </c>
      <c r="U5" s="12" t="s">
        <v>104</v>
      </c>
      <c r="V5" s="12" t="s">
        <v>109</v>
      </c>
      <c r="W5" s="12" t="s">
        <v>115</v>
      </c>
      <c r="X5" s="12" t="s">
        <v>121</v>
      </c>
      <c r="Y5" s="12" t="s">
        <v>127</v>
      </c>
      <c r="Z5" s="12" t="s">
        <v>211</v>
      </c>
      <c r="AA5" s="12" t="s">
        <v>212</v>
      </c>
    </row>
    <row r="6" spans="1:27" x14ac:dyDescent="0.35">
      <c r="A6" s="16" t="s">
        <v>213</v>
      </c>
      <c r="B6" s="16" t="s">
        <v>214</v>
      </c>
      <c r="C6" s="16">
        <v>3</v>
      </c>
      <c r="D6" s="16">
        <v>2</v>
      </c>
      <c r="E6" s="16">
        <v>1</v>
      </c>
      <c r="F6" s="16">
        <v>2</v>
      </c>
      <c r="G6" s="16">
        <v>2</v>
      </c>
      <c r="H6" s="16">
        <v>1</v>
      </c>
      <c r="I6" s="16">
        <v>1</v>
      </c>
      <c r="J6" s="16">
        <v>2</v>
      </c>
      <c r="K6" s="16">
        <v>2</v>
      </c>
      <c r="L6" s="16">
        <v>1</v>
      </c>
      <c r="M6" s="16">
        <v>2</v>
      </c>
      <c r="N6" s="16" t="s">
        <v>176</v>
      </c>
      <c r="O6" s="16" t="s">
        <v>186</v>
      </c>
      <c r="P6" s="16" t="s">
        <v>186</v>
      </c>
      <c r="Q6" s="16" t="s">
        <v>215</v>
      </c>
      <c r="R6" s="16" t="s">
        <v>176</v>
      </c>
      <c r="S6" s="16" t="s">
        <v>215</v>
      </c>
      <c r="T6" s="16" t="s">
        <v>186</v>
      </c>
      <c r="U6" s="16" t="s">
        <v>215</v>
      </c>
      <c r="V6" s="16" t="s">
        <v>186</v>
      </c>
      <c r="W6" s="16" t="s">
        <v>186</v>
      </c>
      <c r="X6" s="16" t="s">
        <v>176</v>
      </c>
      <c r="Y6" s="16" t="s">
        <v>215</v>
      </c>
      <c r="Z6" s="17">
        <f t="shared" ref="Z6:Z37" si="0">IF($A6="","",SUMPRODUCT((N6:Y6=N$3:Y$3)*(N$4:Y$4="Sí")))</f>
        <v>3</v>
      </c>
      <c r="AA6" s="18">
        <f>IF(Z6="","",Z6/Clave!$G$19)</f>
        <v>0.25</v>
      </c>
    </row>
    <row r="7" spans="1:27" x14ac:dyDescent="0.35">
      <c r="A7" s="19"/>
      <c r="B7" s="20"/>
      <c r="C7" s="19"/>
      <c r="D7" s="19"/>
      <c r="E7" s="19"/>
      <c r="F7" s="19"/>
      <c r="G7" s="19"/>
      <c r="H7" s="19"/>
      <c r="I7" s="19"/>
      <c r="J7" s="19"/>
      <c r="K7" s="19"/>
      <c r="L7" s="19"/>
      <c r="M7" s="19"/>
      <c r="N7" s="19"/>
      <c r="O7" s="19"/>
      <c r="P7" s="19"/>
      <c r="Q7" s="19"/>
      <c r="R7" s="19"/>
      <c r="S7" s="19"/>
      <c r="T7" s="19"/>
      <c r="U7" s="19"/>
      <c r="V7" s="19"/>
      <c r="W7" s="19"/>
      <c r="X7" s="19"/>
      <c r="Y7" s="19"/>
      <c r="Z7" s="14" t="str">
        <f t="shared" si="0"/>
        <v/>
      </c>
      <c r="AA7" s="21" t="str">
        <f>IF(Z7="","",Z7/Clave!$G$19)</f>
        <v/>
      </c>
    </row>
    <row r="8" spans="1:27" x14ac:dyDescent="0.35">
      <c r="A8" s="19"/>
      <c r="B8" s="20"/>
      <c r="C8" s="19"/>
      <c r="D8" s="19"/>
      <c r="E8" s="19"/>
      <c r="F8" s="19"/>
      <c r="G8" s="19"/>
      <c r="H8" s="19"/>
      <c r="I8" s="19"/>
      <c r="J8" s="19"/>
      <c r="K8" s="19"/>
      <c r="L8" s="19"/>
      <c r="M8" s="19"/>
      <c r="N8" s="19"/>
      <c r="O8" s="19"/>
      <c r="P8" s="19"/>
      <c r="Q8" s="19"/>
      <c r="R8" s="19"/>
      <c r="S8" s="19"/>
      <c r="T8" s="19"/>
      <c r="U8" s="19"/>
      <c r="V8" s="19"/>
      <c r="W8" s="19"/>
      <c r="X8" s="19"/>
      <c r="Y8" s="19"/>
      <c r="Z8" s="14" t="str">
        <f t="shared" si="0"/>
        <v/>
      </c>
      <c r="AA8" s="21" t="str">
        <f>IF(Z8="","",Z8/Clave!$G$19)</f>
        <v/>
      </c>
    </row>
    <row r="9" spans="1:27" x14ac:dyDescent="0.35">
      <c r="A9" s="19"/>
      <c r="B9" s="20"/>
      <c r="C9" s="19"/>
      <c r="D9" s="19"/>
      <c r="E9" s="19"/>
      <c r="F9" s="19"/>
      <c r="G9" s="19"/>
      <c r="H9" s="19"/>
      <c r="I9" s="19"/>
      <c r="J9" s="19"/>
      <c r="K9" s="19"/>
      <c r="L9" s="19"/>
      <c r="M9" s="19"/>
      <c r="N9" s="19"/>
      <c r="O9" s="19"/>
      <c r="P9" s="19"/>
      <c r="Q9" s="19"/>
      <c r="R9" s="19"/>
      <c r="S9" s="19"/>
      <c r="T9" s="19"/>
      <c r="U9" s="19"/>
      <c r="V9" s="19"/>
      <c r="W9" s="19"/>
      <c r="X9" s="19"/>
      <c r="Y9" s="19"/>
      <c r="Z9" s="14" t="str">
        <f t="shared" si="0"/>
        <v/>
      </c>
      <c r="AA9" s="21" t="str">
        <f>IF(Z9="","",Z9/Clave!$G$19)</f>
        <v/>
      </c>
    </row>
    <row r="10" spans="1:27" x14ac:dyDescent="0.35">
      <c r="A10" s="19"/>
      <c r="B10" s="20"/>
      <c r="C10" s="19"/>
      <c r="D10" s="19"/>
      <c r="E10" s="19"/>
      <c r="F10" s="19"/>
      <c r="G10" s="19"/>
      <c r="H10" s="19"/>
      <c r="I10" s="19"/>
      <c r="J10" s="19"/>
      <c r="K10" s="19"/>
      <c r="L10" s="19"/>
      <c r="M10" s="19"/>
      <c r="N10" s="19"/>
      <c r="O10" s="19"/>
      <c r="P10" s="19"/>
      <c r="Q10" s="19"/>
      <c r="R10" s="19"/>
      <c r="S10" s="19"/>
      <c r="T10" s="19"/>
      <c r="U10" s="19"/>
      <c r="V10" s="19"/>
      <c r="W10" s="19"/>
      <c r="X10" s="19"/>
      <c r="Y10" s="19"/>
      <c r="Z10" s="14" t="str">
        <f t="shared" si="0"/>
        <v/>
      </c>
      <c r="AA10" s="21" t="str">
        <f>IF(Z10="","",Z10/Clave!$G$19)</f>
        <v/>
      </c>
    </row>
    <row r="11" spans="1:27" x14ac:dyDescent="0.35">
      <c r="A11" s="19"/>
      <c r="B11" s="20"/>
      <c r="C11" s="19"/>
      <c r="D11" s="19"/>
      <c r="E11" s="19"/>
      <c r="F11" s="19"/>
      <c r="G11" s="19"/>
      <c r="H11" s="19"/>
      <c r="I11" s="19"/>
      <c r="J11" s="19"/>
      <c r="K11" s="19"/>
      <c r="L11" s="19"/>
      <c r="M11" s="19"/>
      <c r="N11" s="19"/>
      <c r="O11" s="19"/>
      <c r="P11" s="19"/>
      <c r="Q11" s="19"/>
      <c r="R11" s="19"/>
      <c r="S11" s="19"/>
      <c r="T11" s="19"/>
      <c r="U11" s="19"/>
      <c r="V11" s="19"/>
      <c r="W11" s="19"/>
      <c r="X11" s="19"/>
      <c r="Y11" s="19"/>
      <c r="Z11" s="14" t="str">
        <f t="shared" si="0"/>
        <v/>
      </c>
      <c r="AA11" s="21" t="str">
        <f>IF(Z11="","",Z11/Clave!$G$19)</f>
        <v/>
      </c>
    </row>
    <row r="12" spans="1:27" x14ac:dyDescent="0.35">
      <c r="A12" s="19"/>
      <c r="B12" s="20"/>
      <c r="C12" s="19"/>
      <c r="D12" s="19"/>
      <c r="E12" s="19"/>
      <c r="F12" s="19"/>
      <c r="G12" s="19"/>
      <c r="H12" s="19"/>
      <c r="I12" s="19"/>
      <c r="J12" s="19"/>
      <c r="K12" s="19"/>
      <c r="L12" s="19"/>
      <c r="M12" s="19"/>
      <c r="N12" s="19"/>
      <c r="O12" s="19"/>
      <c r="P12" s="19"/>
      <c r="Q12" s="19"/>
      <c r="R12" s="19"/>
      <c r="S12" s="19"/>
      <c r="T12" s="19"/>
      <c r="U12" s="19"/>
      <c r="V12" s="19"/>
      <c r="W12" s="19"/>
      <c r="X12" s="19"/>
      <c r="Y12" s="19"/>
      <c r="Z12" s="14" t="str">
        <f t="shared" si="0"/>
        <v/>
      </c>
      <c r="AA12" s="21" t="str">
        <f>IF(Z12="","",Z12/Clave!$G$19)</f>
        <v/>
      </c>
    </row>
    <row r="13" spans="1:27" x14ac:dyDescent="0.35">
      <c r="A13" s="19"/>
      <c r="B13" s="20"/>
      <c r="C13" s="19"/>
      <c r="D13" s="19"/>
      <c r="E13" s="19"/>
      <c r="F13" s="19"/>
      <c r="G13" s="19"/>
      <c r="H13" s="19"/>
      <c r="I13" s="19"/>
      <c r="J13" s="19"/>
      <c r="K13" s="19"/>
      <c r="L13" s="19"/>
      <c r="M13" s="19"/>
      <c r="N13" s="19"/>
      <c r="O13" s="19"/>
      <c r="P13" s="19"/>
      <c r="Q13" s="19"/>
      <c r="R13" s="19"/>
      <c r="S13" s="19"/>
      <c r="T13" s="19"/>
      <c r="U13" s="19"/>
      <c r="V13" s="19"/>
      <c r="W13" s="19"/>
      <c r="X13" s="19"/>
      <c r="Y13" s="19"/>
      <c r="Z13" s="14" t="str">
        <f t="shared" si="0"/>
        <v/>
      </c>
      <c r="AA13" s="21" t="str">
        <f>IF(Z13="","",Z13/Clave!$G$19)</f>
        <v/>
      </c>
    </row>
    <row r="14" spans="1:27" x14ac:dyDescent="0.35">
      <c r="A14" s="19"/>
      <c r="B14" s="20"/>
      <c r="C14" s="19"/>
      <c r="D14" s="19"/>
      <c r="E14" s="19"/>
      <c r="F14" s="19"/>
      <c r="G14" s="19"/>
      <c r="H14" s="19"/>
      <c r="I14" s="19"/>
      <c r="J14" s="19"/>
      <c r="K14" s="19"/>
      <c r="L14" s="19"/>
      <c r="M14" s="19"/>
      <c r="N14" s="19"/>
      <c r="O14" s="19"/>
      <c r="P14" s="19"/>
      <c r="Q14" s="19"/>
      <c r="R14" s="19"/>
      <c r="S14" s="19"/>
      <c r="T14" s="19"/>
      <c r="U14" s="19"/>
      <c r="V14" s="19"/>
      <c r="W14" s="19"/>
      <c r="X14" s="19"/>
      <c r="Y14" s="19"/>
      <c r="Z14" s="14" t="str">
        <f t="shared" si="0"/>
        <v/>
      </c>
      <c r="AA14" s="21" t="str">
        <f>IF(Z14="","",Z14/Clave!$G$19)</f>
        <v/>
      </c>
    </row>
    <row r="15" spans="1:27" x14ac:dyDescent="0.35">
      <c r="A15" s="19"/>
      <c r="B15" s="20"/>
      <c r="C15" s="19"/>
      <c r="D15" s="19"/>
      <c r="E15" s="19"/>
      <c r="F15" s="19"/>
      <c r="G15" s="19"/>
      <c r="H15" s="19"/>
      <c r="I15" s="19"/>
      <c r="J15" s="19"/>
      <c r="K15" s="19"/>
      <c r="L15" s="19"/>
      <c r="M15" s="19"/>
      <c r="N15" s="19"/>
      <c r="O15" s="19"/>
      <c r="P15" s="19"/>
      <c r="Q15" s="19"/>
      <c r="R15" s="19"/>
      <c r="S15" s="19"/>
      <c r="T15" s="19"/>
      <c r="U15" s="19"/>
      <c r="V15" s="19"/>
      <c r="W15" s="19"/>
      <c r="X15" s="19"/>
      <c r="Y15" s="19"/>
      <c r="Z15" s="14" t="str">
        <f t="shared" si="0"/>
        <v/>
      </c>
      <c r="AA15" s="21" t="str">
        <f>IF(Z15="","",Z15/Clave!$G$19)</f>
        <v/>
      </c>
    </row>
    <row r="16" spans="1:27" x14ac:dyDescent="0.35">
      <c r="A16" s="19"/>
      <c r="B16" s="20"/>
      <c r="C16" s="19"/>
      <c r="D16" s="19"/>
      <c r="E16" s="19"/>
      <c r="F16" s="19"/>
      <c r="G16" s="19"/>
      <c r="H16" s="19"/>
      <c r="I16" s="19"/>
      <c r="J16" s="19"/>
      <c r="K16" s="19"/>
      <c r="L16" s="19"/>
      <c r="M16" s="19"/>
      <c r="N16" s="19"/>
      <c r="O16" s="19"/>
      <c r="P16" s="19"/>
      <c r="Q16" s="19"/>
      <c r="R16" s="19"/>
      <c r="S16" s="19"/>
      <c r="T16" s="19"/>
      <c r="U16" s="19"/>
      <c r="V16" s="19"/>
      <c r="W16" s="19"/>
      <c r="X16" s="19"/>
      <c r="Y16" s="19"/>
      <c r="Z16" s="14" t="str">
        <f t="shared" si="0"/>
        <v/>
      </c>
      <c r="AA16" s="21" t="str">
        <f>IF(Z16="","",Z16/Clave!$G$19)</f>
        <v/>
      </c>
    </row>
    <row r="17" spans="1:27" x14ac:dyDescent="0.35">
      <c r="A17" s="19"/>
      <c r="B17" s="20"/>
      <c r="C17" s="19"/>
      <c r="D17" s="19"/>
      <c r="E17" s="19"/>
      <c r="F17" s="19"/>
      <c r="G17" s="19"/>
      <c r="H17" s="19"/>
      <c r="I17" s="19"/>
      <c r="J17" s="19"/>
      <c r="K17" s="19"/>
      <c r="L17" s="19"/>
      <c r="M17" s="19"/>
      <c r="N17" s="19"/>
      <c r="O17" s="19"/>
      <c r="P17" s="19"/>
      <c r="Q17" s="19"/>
      <c r="R17" s="19"/>
      <c r="S17" s="19"/>
      <c r="T17" s="19"/>
      <c r="U17" s="19"/>
      <c r="V17" s="19"/>
      <c r="W17" s="19"/>
      <c r="X17" s="19"/>
      <c r="Y17" s="19"/>
      <c r="Z17" s="14" t="str">
        <f t="shared" si="0"/>
        <v/>
      </c>
      <c r="AA17" s="21" t="str">
        <f>IF(Z17="","",Z17/Clave!$G$19)</f>
        <v/>
      </c>
    </row>
    <row r="18" spans="1:27" x14ac:dyDescent="0.35">
      <c r="A18" s="19"/>
      <c r="B18" s="20"/>
      <c r="C18" s="19"/>
      <c r="D18" s="19"/>
      <c r="E18" s="19"/>
      <c r="F18" s="19"/>
      <c r="G18" s="19"/>
      <c r="H18" s="19"/>
      <c r="I18" s="19"/>
      <c r="J18" s="19"/>
      <c r="K18" s="19"/>
      <c r="L18" s="19"/>
      <c r="M18" s="19"/>
      <c r="N18" s="19"/>
      <c r="O18" s="19"/>
      <c r="P18" s="19"/>
      <c r="Q18" s="19"/>
      <c r="R18" s="19"/>
      <c r="S18" s="19"/>
      <c r="T18" s="19"/>
      <c r="U18" s="19"/>
      <c r="V18" s="19"/>
      <c r="W18" s="19"/>
      <c r="X18" s="19"/>
      <c r="Y18" s="19"/>
      <c r="Z18" s="14" t="str">
        <f t="shared" si="0"/>
        <v/>
      </c>
      <c r="AA18" s="21" t="str">
        <f>IF(Z18="","",Z18/Clave!$G$19)</f>
        <v/>
      </c>
    </row>
    <row r="19" spans="1:27" x14ac:dyDescent="0.35">
      <c r="A19" s="19"/>
      <c r="B19" s="20"/>
      <c r="C19" s="19"/>
      <c r="D19" s="19"/>
      <c r="E19" s="19"/>
      <c r="F19" s="19"/>
      <c r="G19" s="19"/>
      <c r="H19" s="19"/>
      <c r="I19" s="19"/>
      <c r="J19" s="19"/>
      <c r="K19" s="19"/>
      <c r="L19" s="19"/>
      <c r="M19" s="19"/>
      <c r="N19" s="19"/>
      <c r="O19" s="19"/>
      <c r="P19" s="19"/>
      <c r="Q19" s="19"/>
      <c r="R19" s="19"/>
      <c r="S19" s="19"/>
      <c r="T19" s="19"/>
      <c r="U19" s="19"/>
      <c r="V19" s="19"/>
      <c r="W19" s="19"/>
      <c r="X19" s="19"/>
      <c r="Y19" s="19"/>
      <c r="Z19" s="14" t="str">
        <f t="shared" si="0"/>
        <v/>
      </c>
      <c r="AA19" s="21" t="str">
        <f>IF(Z19="","",Z19/Clave!$G$19)</f>
        <v/>
      </c>
    </row>
    <row r="20" spans="1:27" x14ac:dyDescent="0.35">
      <c r="A20" s="19"/>
      <c r="B20" s="20"/>
      <c r="C20" s="19"/>
      <c r="D20" s="19"/>
      <c r="E20" s="19"/>
      <c r="F20" s="19"/>
      <c r="G20" s="19"/>
      <c r="H20" s="19"/>
      <c r="I20" s="19"/>
      <c r="J20" s="19"/>
      <c r="K20" s="19"/>
      <c r="L20" s="19"/>
      <c r="M20" s="19"/>
      <c r="N20" s="19"/>
      <c r="O20" s="19"/>
      <c r="P20" s="19"/>
      <c r="Q20" s="19"/>
      <c r="R20" s="19"/>
      <c r="S20" s="19"/>
      <c r="T20" s="19"/>
      <c r="U20" s="19"/>
      <c r="V20" s="19"/>
      <c r="W20" s="19"/>
      <c r="X20" s="19"/>
      <c r="Y20" s="19"/>
      <c r="Z20" s="14" t="str">
        <f t="shared" si="0"/>
        <v/>
      </c>
      <c r="AA20" s="21" t="str">
        <f>IF(Z20="","",Z20/Clave!$G$19)</f>
        <v/>
      </c>
    </row>
    <row r="21" spans="1:27" x14ac:dyDescent="0.35">
      <c r="A21" s="19"/>
      <c r="B21" s="20"/>
      <c r="C21" s="19"/>
      <c r="D21" s="19"/>
      <c r="E21" s="19"/>
      <c r="F21" s="19"/>
      <c r="G21" s="19"/>
      <c r="H21" s="19"/>
      <c r="I21" s="19"/>
      <c r="J21" s="19"/>
      <c r="K21" s="19"/>
      <c r="L21" s="19"/>
      <c r="M21" s="19"/>
      <c r="N21" s="19"/>
      <c r="O21" s="19"/>
      <c r="P21" s="19"/>
      <c r="Q21" s="19"/>
      <c r="R21" s="19"/>
      <c r="S21" s="19"/>
      <c r="T21" s="19"/>
      <c r="U21" s="19"/>
      <c r="V21" s="19"/>
      <c r="W21" s="19"/>
      <c r="X21" s="19"/>
      <c r="Y21" s="19"/>
      <c r="Z21" s="14" t="str">
        <f t="shared" si="0"/>
        <v/>
      </c>
      <c r="AA21" s="21" t="str">
        <f>IF(Z21="","",Z21/Clave!$G$19)</f>
        <v/>
      </c>
    </row>
    <row r="22" spans="1:27" x14ac:dyDescent="0.35">
      <c r="A22" s="19"/>
      <c r="B22" s="20"/>
      <c r="C22" s="19"/>
      <c r="D22" s="19"/>
      <c r="E22" s="19"/>
      <c r="F22" s="19"/>
      <c r="G22" s="19"/>
      <c r="H22" s="19"/>
      <c r="I22" s="19"/>
      <c r="J22" s="19"/>
      <c r="K22" s="19"/>
      <c r="L22" s="19"/>
      <c r="M22" s="19"/>
      <c r="N22" s="19"/>
      <c r="O22" s="19"/>
      <c r="P22" s="19"/>
      <c r="Q22" s="19"/>
      <c r="R22" s="19"/>
      <c r="S22" s="19"/>
      <c r="T22" s="19"/>
      <c r="U22" s="19"/>
      <c r="V22" s="19"/>
      <c r="W22" s="19"/>
      <c r="X22" s="19"/>
      <c r="Y22" s="19"/>
      <c r="Z22" s="14" t="str">
        <f t="shared" si="0"/>
        <v/>
      </c>
      <c r="AA22" s="21" t="str">
        <f>IF(Z22="","",Z22/Clave!$G$19)</f>
        <v/>
      </c>
    </row>
    <row r="23" spans="1:27" x14ac:dyDescent="0.35">
      <c r="A23" s="19"/>
      <c r="B23" s="20"/>
      <c r="C23" s="19"/>
      <c r="D23" s="19"/>
      <c r="E23" s="19"/>
      <c r="F23" s="19"/>
      <c r="G23" s="19"/>
      <c r="H23" s="19"/>
      <c r="I23" s="19"/>
      <c r="J23" s="19"/>
      <c r="K23" s="19"/>
      <c r="L23" s="19"/>
      <c r="M23" s="19"/>
      <c r="N23" s="19"/>
      <c r="O23" s="19"/>
      <c r="P23" s="19"/>
      <c r="Q23" s="19"/>
      <c r="R23" s="19"/>
      <c r="S23" s="19"/>
      <c r="T23" s="19"/>
      <c r="U23" s="19"/>
      <c r="V23" s="19"/>
      <c r="W23" s="19"/>
      <c r="X23" s="19"/>
      <c r="Y23" s="19"/>
      <c r="Z23" s="14" t="str">
        <f t="shared" si="0"/>
        <v/>
      </c>
      <c r="AA23" s="21" t="str">
        <f>IF(Z23="","",Z23/Clave!$G$19)</f>
        <v/>
      </c>
    </row>
    <row r="24" spans="1:27" x14ac:dyDescent="0.35">
      <c r="A24" s="19"/>
      <c r="B24" s="20"/>
      <c r="C24" s="19"/>
      <c r="D24" s="19"/>
      <c r="E24" s="19"/>
      <c r="F24" s="19"/>
      <c r="G24" s="19"/>
      <c r="H24" s="19"/>
      <c r="I24" s="19"/>
      <c r="J24" s="19"/>
      <c r="K24" s="19"/>
      <c r="L24" s="19"/>
      <c r="M24" s="19"/>
      <c r="N24" s="19"/>
      <c r="O24" s="19"/>
      <c r="P24" s="19"/>
      <c r="Q24" s="19"/>
      <c r="R24" s="19"/>
      <c r="S24" s="19"/>
      <c r="T24" s="19"/>
      <c r="U24" s="19"/>
      <c r="V24" s="19"/>
      <c r="W24" s="19"/>
      <c r="X24" s="19"/>
      <c r="Y24" s="19"/>
      <c r="Z24" s="14" t="str">
        <f t="shared" si="0"/>
        <v/>
      </c>
      <c r="AA24" s="21" t="str">
        <f>IF(Z24="","",Z24/Clave!$G$19)</f>
        <v/>
      </c>
    </row>
    <row r="25" spans="1:27" x14ac:dyDescent="0.35">
      <c r="A25" s="19"/>
      <c r="B25" s="20"/>
      <c r="C25" s="19"/>
      <c r="D25" s="19"/>
      <c r="E25" s="19"/>
      <c r="F25" s="19"/>
      <c r="G25" s="19"/>
      <c r="H25" s="19"/>
      <c r="I25" s="19"/>
      <c r="J25" s="19"/>
      <c r="K25" s="19"/>
      <c r="L25" s="19"/>
      <c r="M25" s="19"/>
      <c r="N25" s="19"/>
      <c r="O25" s="19"/>
      <c r="P25" s="19"/>
      <c r="Q25" s="19"/>
      <c r="R25" s="19"/>
      <c r="S25" s="19"/>
      <c r="T25" s="19"/>
      <c r="U25" s="19"/>
      <c r="V25" s="19"/>
      <c r="W25" s="19"/>
      <c r="X25" s="19"/>
      <c r="Y25" s="19"/>
      <c r="Z25" s="14" t="str">
        <f t="shared" si="0"/>
        <v/>
      </c>
      <c r="AA25" s="21" t="str">
        <f>IF(Z25="","",Z25/Clave!$G$19)</f>
        <v/>
      </c>
    </row>
    <row r="26" spans="1:27" x14ac:dyDescent="0.35">
      <c r="A26" s="19"/>
      <c r="B26" s="20"/>
      <c r="C26" s="19"/>
      <c r="D26" s="19"/>
      <c r="E26" s="19"/>
      <c r="F26" s="19"/>
      <c r="G26" s="19"/>
      <c r="H26" s="19"/>
      <c r="I26" s="19"/>
      <c r="J26" s="19"/>
      <c r="K26" s="19"/>
      <c r="L26" s="19"/>
      <c r="M26" s="19"/>
      <c r="N26" s="19"/>
      <c r="O26" s="19"/>
      <c r="P26" s="19"/>
      <c r="Q26" s="19"/>
      <c r="R26" s="19"/>
      <c r="S26" s="19"/>
      <c r="T26" s="19"/>
      <c r="U26" s="19"/>
      <c r="V26" s="19"/>
      <c r="W26" s="19"/>
      <c r="X26" s="19"/>
      <c r="Y26" s="19"/>
      <c r="Z26" s="14" t="str">
        <f t="shared" si="0"/>
        <v/>
      </c>
      <c r="AA26" s="21" t="str">
        <f>IF(Z26="","",Z26/Clave!$G$19)</f>
        <v/>
      </c>
    </row>
    <row r="27" spans="1:27" x14ac:dyDescent="0.35">
      <c r="A27" s="19"/>
      <c r="B27" s="20"/>
      <c r="C27" s="19"/>
      <c r="D27" s="19"/>
      <c r="E27" s="19"/>
      <c r="F27" s="19"/>
      <c r="G27" s="19"/>
      <c r="H27" s="19"/>
      <c r="I27" s="19"/>
      <c r="J27" s="19"/>
      <c r="K27" s="19"/>
      <c r="L27" s="19"/>
      <c r="M27" s="19"/>
      <c r="N27" s="19"/>
      <c r="O27" s="19"/>
      <c r="P27" s="19"/>
      <c r="Q27" s="19"/>
      <c r="R27" s="19"/>
      <c r="S27" s="19"/>
      <c r="T27" s="19"/>
      <c r="U27" s="19"/>
      <c r="V27" s="19"/>
      <c r="W27" s="19"/>
      <c r="X27" s="19"/>
      <c r="Y27" s="19"/>
      <c r="Z27" s="14" t="str">
        <f t="shared" si="0"/>
        <v/>
      </c>
      <c r="AA27" s="21" t="str">
        <f>IF(Z27="","",Z27/Clave!$G$19)</f>
        <v/>
      </c>
    </row>
    <row r="28" spans="1:27" x14ac:dyDescent="0.35">
      <c r="A28" s="19"/>
      <c r="B28" s="20"/>
      <c r="C28" s="19"/>
      <c r="D28" s="19"/>
      <c r="E28" s="19"/>
      <c r="F28" s="19"/>
      <c r="G28" s="19"/>
      <c r="H28" s="19"/>
      <c r="I28" s="19"/>
      <c r="J28" s="19"/>
      <c r="K28" s="19"/>
      <c r="L28" s="19"/>
      <c r="M28" s="19"/>
      <c r="N28" s="19"/>
      <c r="O28" s="19"/>
      <c r="P28" s="19"/>
      <c r="Q28" s="19"/>
      <c r="R28" s="19"/>
      <c r="S28" s="19"/>
      <c r="T28" s="19"/>
      <c r="U28" s="19"/>
      <c r="V28" s="19"/>
      <c r="W28" s="19"/>
      <c r="X28" s="19"/>
      <c r="Y28" s="19"/>
      <c r="Z28" s="14" t="str">
        <f t="shared" si="0"/>
        <v/>
      </c>
      <c r="AA28" s="21" t="str">
        <f>IF(Z28="","",Z28/Clave!$G$19)</f>
        <v/>
      </c>
    </row>
    <row r="29" spans="1:27" x14ac:dyDescent="0.35">
      <c r="A29" s="19"/>
      <c r="B29" s="20"/>
      <c r="C29" s="19"/>
      <c r="D29" s="19"/>
      <c r="E29" s="19"/>
      <c r="F29" s="19"/>
      <c r="G29" s="19"/>
      <c r="H29" s="19"/>
      <c r="I29" s="19"/>
      <c r="J29" s="19"/>
      <c r="K29" s="19"/>
      <c r="L29" s="19"/>
      <c r="M29" s="19"/>
      <c r="N29" s="19"/>
      <c r="O29" s="19"/>
      <c r="P29" s="19"/>
      <c r="Q29" s="19"/>
      <c r="R29" s="19"/>
      <c r="S29" s="19"/>
      <c r="T29" s="19"/>
      <c r="U29" s="19"/>
      <c r="V29" s="19"/>
      <c r="W29" s="19"/>
      <c r="X29" s="19"/>
      <c r="Y29" s="19"/>
      <c r="Z29" s="14" t="str">
        <f t="shared" si="0"/>
        <v/>
      </c>
      <c r="AA29" s="21" t="str">
        <f>IF(Z29="","",Z29/Clave!$G$19)</f>
        <v/>
      </c>
    </row>
    <row r="30" spans="1:27" x14ac:dyDescent="0.35">
      <c r="A30" s="19"/>
      <c r="B30" s="20"/>
      <c r="C30" s="19"/>
      <c r="D30" s="19"/>
      <c r="E30" s="19"/>
      <c r="F30" s="19"/>
      <c r="G30" s="19"/>
      <c r="H30" s="19"/>
      <c r="I30" s="19"/>
      <c r="J30" s="19"/>
      <c r="K30" s="19"/>
      <c r="L30" s="19"/>
      <c r="M30" s="19"/>
      <c r="N30" s="19"/>
      <c r="O30" s="19"/>
      <c r="P30" s="19"/>
      <c r="Q30" s="19"/>
      <c r="R30" s="19"/>
      <c r="S30" s="19"/>
      <c r="T30" s="19"/>
      <c r="U30" s="19"/>
      <c r="V30" s="19"/>
      <c r="W30" s="19"/>
      <c r="X30" s="19"/>
      <c r="Y30" s="19"/>
      <c r="Z30" s="14" t="str">
        <f t="shared" si="0"/>
        <v/>
      </c>
      <c r="AA30" s="21" t="str">
        <f>IF(Z30="","",Z30/Clave!$G$19)</f>
        <v/>
      </c>
    </row>
    <row r="31" spans="1:27" x14ac:dyDescent="0.35">
      <c r="A31" s="19"/>
      <c r="B31" s="20"/>
      <c r="C31" s="19"/>
      <c r="D31" s="19"/>
      <c r="E31" s="19"/>
      <c r="F31" s="19"/>
      <c r="G31" s="19"/>
      <c r="H31" s="19"/>
      <c r="I31" s="19"/>
      <c r="J31" s="19"/>
      <c r="K31" s="19"/>
      <c r="L31" s="19"/>
      <c r="M31" s="19"/>
      <c r="N31" s="19"/>
      <c r="O31" s="19"/>
      <c r="P31" s="19"/>
      <c r="Q31" s="19"/>
      <c r="R31" s="19"/>
      <c r="S31" s="19"/>
      <c r="T31" s="19"/>
      <c r="U31" s="19"/>
      <c r="V31" s="19"/>
      <c r="W31" s="19"/>
      <c r="X31" s="19"/>
      <c r="Y31" s="19"/>
      <c r="Z31" s="14" t="str">
        <f t="shared" si="0"/>
        <v/>
      </c>
      <c r="AA31" s="21" t="str">
        <f>IF(Z31="","",Z31/Clave!$G$19)</f>
        <v/>
      </c>
    </row>
    <row r="32" spans="1:27" x14ac:dyDescent="0.35">
      <c r="A32" s="19"/>
      <c r="B32" s="20"/>
      <c r="C32" s="19"/>
      <c r="D32" s="19"/>
      <c r="E32" s="19"/>
      <c r="F32" s="19"/>
      <c r="G32" s="19"/>
      <c r="H32" s="19"/>
      <c r="I32" s="19"/>
      <c r="J32" s="19"/>
      <c r="K32" s="19"/>
      <c r="L32" s="19"/>
      <c r="M32" s="19"/>
      <c r="N32" s="19"/>
      <c r="O32" s="19"/>
      <c r="P32" s="19"/>
      <c r="Q32" s="19"/>
      <c r="R32" s="19"/>
      <c r="S32" s="19"/>
      <c r="T32" s="19"/>
      <c r="U32" s="19"/>
      <c r="V32" s="19"/>
      <c r="W32" s="19"/>
      <c r="X32" s="19"/>
      <c r="Y32" s="19"/>
      <c r="Z32" s="14" t="str">
        <f t="shared" si="0"/>
        <v/>
      </c>
      <c r="AA32" s="21" t="str">
        <f>IF(Z32="","",Z32/Clave!$G$19)</f>
        <v/>
      </c>
    </row>
    <row r="33" spans="1:27" x14ac:dyDescent="0.35">
      <c r="A33" s="19"/>
      <c r="B33" s="20"/>
      <c r="C33" s="19"/>
      <c r="D33" s="19"/>
      <c r="E33" s="19"/>
      <c r="F33" s="19"/>
      <c r="G33" s="19"/>
      <c r="H33" s="19"/>
      <c r="I33" s="19"/>
      <c r="J33" s="19"/>
      <c r="K33" s="19"/>
      <c r="L33" s="19"/>
      <c r="M33" s="19"/>
      <c r="N33" s="19"/>
      <c r="O33" s="19"/>
      <c r="P33" s="19"/>
      <c r="Q33" s="19"/>
      <c r="R33" s="19"/>
      <c r="S33" s="19"/>
      <c r="T33" s="19"/>
      <c r="U33" s="19"/>
      <c r="V33" s="19"/>
      <c r="W33" s="19"/>
      <c r="X33" s="19"/>
      <c r="Y33" s="19"/>
      <c r="Z33" s="14" t="str">
        <f t="shared" si="0"/>
        <v/>
      </c>
      <c r="AA33" s="21" t="str">
        <f>IF(Z33="","",Z33/Clave!$G$19)</f>
        <v/>
      </c>
    </row>
    <row r="34" spans="1:27" x14ac:dyDescent="0.35">
      <c r="A34" s="19"/>
      <c r="B34" s="20"/>
      <c r="C34" s="19"/>
      <c r="D34" s="19"/>
      <c r="E34" s="19"/>
      <c r="F34" s="19"/>
      <c r="G34" s="19"/>
      <c r="H34" s="19"/>
      <c r="I34" s="19"/>
      <c r="J34" s="19"/>
      <c r="K34" s="19"/>
      <c r="L34" s="19"/>
      <c r="M34" s="19"/>
      <c r="N34" s="19"/>
      <c r="O34" s="19"/>
      <c r="P34" s="19"/>
      <c r="Q34" s="19"/>
      <c r="R34" s="19"/>
      <c r="S34" s="19"/>
      <c r="T34" s="19"/>
      <c r="U34" s="19"/>
      <c r="V34" s="19"/>
      <c r="W34" s="19"/>
      <c r="X34" s="19"/>
      <c r="Y34" s="19"/>
      <c r="Z34" s="14" t="str">
        <f t="shared" si="0"/>
        <v/>
      </c>
      <c r="AA34" s="21" t="str">
        <f>IF(Z34="","",Z34/Clave!$G$19)</f>
        <v/>
      </c>
    </row>
    <row r="35" spans="1:27" x14ac:dyDescent="0.35">
      <c r="A35" s="19"/>
      <c r="B35" s="20"/>
      <c r="C35" s="19"/>
      <c r="D35" s="19"/>
      <c r="E35" s="19"/>
      <c r="F35" s="19"/>
      <c r="G35" s="19"/>
      <c r="H35" s="19"/>
      <c r="I35" s="19"/>
      <c r="J35" s="19"/>
      <c r="K35" s="19"/>
      <c r="L35" s="19"/>
      <c r="M35" s="19"/>
      <c r="N35" s="19"/>
      <c r="O35" s="19"/>
      <c r="P35" s="19"/>
      <c r="Q35" s="19"/>
      <c r="R35" s="19"/>
      <c r="S35" s="19"/>
      <c r="T35" s="19"/>
      <c r="U35" s="19"/>
      <c r="V35" s="19"/>
      <c r="W35" s="19"/>
      <c r="X35" s="19"/>
      <c r="Y35" s="19"/>
      <c r="Z35" s="14" t="str">
        <f t="shared" si="0"/>
        <v/>
      </c>
      <c r="AA35" s="21" t="str">
        <f>IF(Z35="","",Z35/Clave!$G$19)</f>
        <v/>
      </c>
    </row>
    <row r="36" spans="1:27" x14ac:dyDescent="0.35">
      <c r="A36" s="19"/>
      <c r="B36" s="20"/>
      <c r="C36" s="19"/>
      <c r="D36" s="19"/>
      <c r="E36" s="19"/>
      <c r="F36" s="19"/>
      <c r="G36" s="19"/>
      <c r="H36" s="19"/>
      <c r="I36" s="19"/>
      <c r="J36" s="19"/>
      <c r="K36" s="19"/>
      <c r="L36" s="19"/>
      <c r="M36" s="19"/>
      <c r="N36" s="19"/>
      <c r="O36" s="19"/>
      <c r="P36" s="19"/>
      <c r="Q36" s="19"/>
      <c r="R36" s="19"/>
      <c r="S36" s="19"/>
      <c r="T36" s="19"/>
      <c r="U36" s="19"/>
      <c r="V36" s="19"/>
      <c r="W36" s="19"/>
      <c r="X36" s="19"/>
      <c r="Y36" s="19"/>
      <c r="Z36" s="14" t="str">
        <f t="shared" si="0"/>
        <v/>
      </c>
      <c r="AA36" s="21" t="str">
        <f>IF(Z36="","",Z36/Clave!$G$19)</f>
        <v/>
      </c>
    </row>
    <row r="37" spans="1:27" x14ac:dyDescent="0.35">
      <c r="A37" s="19"/>
      <c r="B37" s="20"/>
      <c r="C37" s="19"/>
      <c r="D37" s="19"/>
      <c r="E37" s="19"/>
      <c r="F37" s="19"/>
      <c r="G37" s="19"/>
      <c r="H37" s="19"/>
      <c r="I37" s="19"/>
      <c r="J37" s="19"/>
      <c r="K37" s="19"/>
      <c r="L37" s="19"/>
      <c r="M37" s="19"/>
      <c r="N37" s="19"/>
      <c r="O37" s="19"/>
      <c r="P37" s="19"/>
      <c r="Q37" s="19"/>
      <c r="R37" s="19"/>
      <c r="S37" s="19"/>
      <c r="T37" s="19"/>
      <c r="U37" s="19"/>
      <c r="V37" s="19"/>
      <c r="W37" s="19"/>
      <c r="X37" s="19"/>
      <c r="Y37" s="19"/>
      <c r="Z37" s="14" t="str">
        <f t="shared" si="0"/>
        <v/>
      </c>
      <c r="AA37" s="21" t="str">
        <f>IF(Z37="","",Z37/Clave!$G$19)</f>
        <v/>
      </c>
    </row>
    <row r="38" spans="1:27" x14ac:dyDescent="0.35">
      <c r="A38" s="19"/>
      <c r="B38" s="20"/>
      <c r="C38" s="19"/>
      <c r="D38" s="19"/>
      <c r="E38" s="19"/>
      <c r="F38" s="19"/>
      <c r="G38" s="19"/>
      <c r="H38" s="19"/>
      <c r="I38" s="19"/>
      <c r="J38" s="19"/>
      <c r="K38" s="19"/>
      <c r="L38" s="19"/>
      <c r="M38" s="19"/>
      <c r="N38" s="19"/>
      <c r="O38" s="19"/>
      <c r="P38" s="19"/>
      <c r="Q38" s="19"/>
      <c r="R38" s="19"/>
      <c r="S38" s="19"/>
      <c r="T38" s="19"/>
      <c r="U38" s="19"/>
      <c r="V38" s="19"/>
      <c r="W38" s="19"/>
      <c r="X38" s="19"/>
      <c r="Y38" s="19"/>
      <c r="Z38" s="14" t="str">
        <f t="shared" ref="Z38:Z69" si="1">IF($A38="","",SUMPRODUCT((N38:Y38=N$3:Y$3)*(N$4:Y$4="Sí")))</f>
        <v/>
      </c>
      <c r="AA38" s="21" t="str">
        <f>IF(Z38="","",Z38/Clave!$G$19)</f>
        <v/>
      </c>
    </row>
    <row r="39" spans="1:27" x14ac:dyDescent="0.35">
      <c r="A39" s="19"/>
      <c r="B39" s="20"/>
      <c r="C39" s="19"/>
      <c r="D39" s="19"/>
      <c r="E39" s="19"/>
      <c r="F39" s="19"/>
      <c r="G39" s="19"/>
      <c r="H39" s="19"/>
      <c r="I39" s="19"/>
      <c r="J39" s="19"/>
      <c r="K39" s="19"/>
      <c r="L39" s="19"/>
      <c r="M39" s="19"/>
      <c r="N39" s="19"/>
      <c r="O39" s="19"/>
      <c r="P39" s="19"/>
      <c r="Q39" s="19"/>
      <c r="R39" s="19"/>
      <c r="S39" s="19"/>
      <c r="T39" s="19"/>
      <c r="U39" s="19"/>
      <c r="V39" s="19"/>
      <c r="W39" s="19"/>
      <c r="X39" s="19"/>
      <c r="Y39" s="19"/>
      <c r="Z39" s="14" t="str">
        <f t="shared" si="1"/>
        <v/>
      </c>
      <c r="AA39" s="21" t="str">
        <f>IF(Z39="","",Z39/Clave!$G$19)</f>
        <v/>
      </c>
    </row>
    <row r="40" spans="1:27" x14ac:dyDescent="0.35">
      <c r="A40" s="19"/>
      <c r="B40" s="20"/>
      <c r="C40" s="19"/>
      <c r="D40" s="19"/>
      <c r="E40" s="19"/>
      <c r="F40" s="19"/>
      <c r="G40" s="19"/>
      <c r="H40" s="19"/>
      <c r="I40" s="19"/>
      <c r="J40" s="19"/>
      <c r="K40" s="19"/>
      <c r="L40" s="19"/>
      <c r="M40" s="19"/>
      <c r="N40" s="19"/>
      <c r="O40" s="19"/>
      <c r="P40" s="19"/>
      <c r="Q40" s="19"/>
      <c r="R40" s="19"/>
      <c r="S40" s="19"/>
      <c r="T40" s="19"/>
      <c r="U40" s="19"/>
      <c r="V40" s="19"/>
      <c r="W40" s="19"/>
      <c r="X40" s="19"/>
      <c r="Y40" s="19"/>
      <c r="Z40" s="14" t="str">
        <f t="shared" si="1"/>
        <v/>
      </c>
      <c r="AA40" s="21" t="str">
        <f>IF(Z40="","",Z40/Clave!$G$19)</f>
        <v/>
      </c>
    </row>
    <row r="41" spans="1:27" x14ac:dyDescent="0.35">
      <c r="A41" s="19"/>
      <c r="B41" s="20"/>
      <c r="C41" s="19"/>
      <c r="D41" s="19"/>
      <c r="E41" s="19"/>
      <c r="F41" s="19"/>
      <c r="G41" s="19"/>
      <c r="H41" s="19"/>
      <c r="I41" s="19"/>
      <c r="J41" s="19"/>
      <c r="K41" s="19"/>
      <c r="L41" s="19"/>
      <c r="M41" s="19"/>
      <c r="N41" s="19"/>
      <c r="O41" s="19"/>
      <c r="P41" s="19"/>
      <c r="Q41" s="19"/>
      <c r="R41" s="19"/>
      <c r="S41" s="19"/>
      <c r="T41" s="19"/>
      <c r="U41" s="19"/>
      <c r="V41" s="19"/>
      <c r="W41" s="19"/>
      <c r="X41" s="19"/>
      <c r="Y41" s="19"/>
      <c r="Z41" s="14" t="str">
        <f t="shared" si="1"/>
        <v/>
      </c>
      <c r="AA41" s="21" t="str">
        <f>IF(Z41="","",Z41/Clave!$G$19)</f>
        <v/>
      </c>
    </row>
    <row r="42" spans="1:27" x14ac:dyDescent="0.35">
      <c r="A42" s="19"/>
      <c r="B42" s="20"/>
      <c r="C42" s="19"/>
      <c r="D42" s="19"/>
      <c r="E42" s="19"/>
      <c r="F42" s="19"/>
      <c r="G42" s="19"/>
      <c r="H42" s="19"/>
      <c r="I42" s="19"/>
      <c r="J42" s="19"/>
      <c r="K42" s="19"/>
      <c r="L42" s="19"/>
      <c r="M42" s="19"/>
      <c r="N42" s="19"/>
      <c r="O42" s="19"/>
      <c r="P42" s="19"/>
      <c r="Q42" s="19"/>
      <c r="R42" s="19"/>
      <c r="S42" s="19"/>
      <c r="T42" s="19"/>
      <c r="U42" s="19"/>
      <c r="V42" s="19"/>
      <c r="W42" s="19"/>
      <c r="X42" s="19"/>
      <c r="Y42" s="19"/>
      <c r="Z42" s="14" t="str">
        <f t="shared" si="1"/>
        <v/>
      </c>
      <c r="AA42" s="21" t="str">
        <f>IF(Z42="","",Z42/Clave!$G$19)</f>
        <v/>
      </c>
    </row>
    <row r="43" spans="1:27" x14ac:dyDescent="0.35">
      <c r="A43" s="19"/>
      <c r="B43" s="20"/>
      <c r="C43" s="19"/>
      <c r="D43" s="19"/>
      <c r="E43" s="19"/>
      <c r="F43" s="19"/>
      <c r="G43" s="19"/>
      <c r="H43" s="19"/>
      <c r="I43" s="19"/>
      <c r="J43" s="19"/>
      <c r="K43" s="19"/>
      <c r="L43" s="19"/>
      <c r="M43" s="19"/>
      <c r="N43" s="19"/>
      <c r="O43" s="19"/>
      <c r="P43" s="19"/>
      <c r="Q43" s="19"/>
      <c r="R43" s="19"/>
      <c r="S43" s="19"/>
      <c r="T43" s="19"/>
      <c r="U43" s="19"/>
      <c r="V43" s="19"/>
      <c r="W43" s="19"/>
      <c r="X43" s="19"/>
      <c r="Y43" s="19"/>
      <c r="Z43" s="14" t="str">
        <f t="shared" si="1"/>
        <v/>
      </c>
      <c r="AA43" s="21" t="str">
        <f>IF(Z43="","",Z43/Clave!$G$19)</f>
        <v/>
      </c>
    </row>
    <row r="44" spans="1:27" x14ac:dyDescent="0.35">
      <c r="A44" s="19"/>
      <c r="B44" s="20"/>
      <c r="C44" s="19"/>
      <c r="D44" s="19"/>
      <c r="E44" s="19"/>
      <c r="F44" s="19"/>
      <c r="G44" s="19"/>
      <c r="H44" s="19"/>
      <c r="I44" s="19"/>
      <c r="J44" s="19"/>
      <c r="K44" s="19"/>
      <c r="L44" s="19"/>
      <c r="M44" s="19"/>
      <c r="N44" s="19"/>
      <c r="O44" s="19"/>
      <c r="P44" s="19"/>
      <c r="Q44" s="19"/>
      <c r="R44" s="19"/>
      <c r="S44" s="19"/>
      <c r="T44" s="19"/>
      <c r="U44" s="19"/>
      <c r="V44" s="19"/>
      <c r="W44" s="19"/>
      <c r="X44" s="19"/>
      <c r="Y44" s="19"/>
      <c r="Z44" s="14" t="str">
        <f t="shared" si="1"/>
        <v/>
      </c>
      <c r="AA44" s="21" t="str">
        <f>IF(Z44="","",Z44/Clave!$G$19)</f>
        <v/>
      </c>
    </row>
    <row r="45" spans="1:27" x14ac:dyDescent="0.35">
      <c r="A45" s="19"/>
      <c r="B45" s="20"/>
      <c r="C45" s="19"/>
      <c r="D45" s="19"/>
      <c r="E45" s="19"/>
      <c r="F45" s="19"/>
      <c r="G45" s="19"/>
      <c r="H45" s="19"/>
      <c r="I45" s="19"/>
      <c r="J45" s="19"/>
      <c r="K45" s="19"/>
      <c r="L45" s="19"/>
      <c r="M45" s="19"/>
      <c r="N45" s="19"/>
      <c r="O45" s="19"/>
      <c r="P45" s="19"/>
      <c r="Q45" s="19"/>
      <c r="R45" s="19"/>
      <c r="S45" s="19"/>
      <c r="T45" s="19"/>
      <c r="U45" s="19"/>
      <c r="V45" s="19"/>
      <c r="W45" s="19"/>
      <c r="X45" s="19"/>
      <c r="Y45" s="19"/>
      <c r="Z45" s="14" t="str">
        <f t="shared" si="1"/>
        <v/>
      </c>
      <c r="AA45" s="21" t="str">
        <f>IF(Z45="","",Z45/Clave!$G$19)</f>
        <v/>
      </c>
    </row>
    <row r="46" spans="1:27" x14ac:dyDescent="0.35">
      <c r="A46" s="19"/>
      <c r="B46" s="20"/>
      <c r="C46" s="19"/>
      <c r="D46" s="19"/>
      <c r="E46" s="19"/>
      <c r="F46" s="19"/>
      <c r="G46" s="19"/>
      <c r="H46" s="19"/>
      <c r="I46" s="19"/>
      <c r="J46" s="19"/>
      <c r="K46" s="19"/>
      <c r="L46" s="19"/>
      <c r="M46" s="19"/>
      <c r="N46" s="19"/>
      <c r="O46" s="19"/>
      <c r="P46" s="19"/>
      <c r="Q46" s="19"/>
      <c r="R46" s="19"/>
      <c r="S46" s="19"/>
      <c r="T46" s="19"/>
      <c r="U46" s="19"/>
      <c r="V46" s="19"/>
      <c r="W46" s="19"/>
      <c r="X46" s="19"/>
      <c r="Y46" s="19"/>
      <c r="Z46" s="14" t="str">
        <f t="shared" si="1"/>
        <v/>
      </c>
      <c r="AA46" s="21" t="str">
        <f>IF(Z46="","",Z46/Clave!$G$19)</f>
        <v/>
      </c>
    </row>
    <row r="47" spans="1:27" x14ac:dyDescent="0.35">
      <c r="A47" s="19"/>
      <c r="B47" s="20"/>
      <c r="C47" s="19"/>
      <c r="D47" s="19"/>
      <c r="E47" s="19"/>
      <c r="F47" s="19"/>
      <c r="G47" s="19"/>
      <c r="H47" s="19"/>
      <c r="I47" s="19"/>
      <c r="J47" s="19"/>
      <c r="K47" s="19"/>
      <c r="L47" s="19"/>
      <c r="M47" s="19"/>
      <c r="N47" s="19"/>
      <c r="O47" s="19"/>
      <c r="P47" s="19"/>
      <c r="Q47" s="19"/>
      <c r="R47" s="19"/>
      <c r="S47" s="19"/>
      <c r="T47" s="19"/>
      <c r="U47" s="19"/>
      <c r="V47" s="19"/>
      <c r="W47" s="19"/>
      <c r="X47" s="19"/>
      <c r="Y47" s="19"/>
      <c r="Z47" s="14" t="str">
        <f t="shared" si="1"/>
        <v/>
      </c>
      <c r="AA47" s="21" t="str">
        <f>IF(Z47="","",Z47/Clave!$G$19)</f>
        <v/>
      </c>
    </row>
    <row r="48" spans="1:27" x14ac:dyDescent="0.35">
      <c r="A48" s="19"/>
      <c r="B48" s="20"/>
      <c r="C48" s="19"/>
      <c r="D48" s="19"/>
      <c r="E48" s="19"/>
      <c r="F48" s="19"/>
      <c r="G48" s="19"/>
      <c r="H48" s="19"/>
      <c r="I48" s="19"/>
      <c r="J48" s="19"/>
      <c r="K48" s="19"/>
      <c r="L48" s="19"/>
      <c r="M48" s="19"/>
      <c r="N48" s="19"/>
      <c r="O48" s="19"/>
      <c r="P48" s="19"/>
      <c r="Q48" s="19"/>
      <c r="R48" s="19"/>
      <c r="S48" s="19"/>
      <c r="T48" s="19"/>
      <c r="U48" s="19"/>
      <c r="V48" s="19"/>
      <c r="W48" s="19"/>
      <c r="X48" s="19"/>
      <c r="Y48" s="19"/>
      <c r="Z48" s="14" t="str">
        <f t="shared" si="1"/>
        <v/>
      </c>
      <c r="AA48" s="21" t="str">
        <f>IF(Z48="","",Z48/Clave!$G$19)</f>
        <v/>
      </c>
    </row>
    <row r="49" spans="1:27" x14ac:dyDescent="0.35">
      <c r="A49" s="19"/>
      <c r="B49" s="20"/>
      <c r="C49" s="19"/>
      <c r="D49" s="19"/>
      <c r="E49" s="19"/>
      <c r="F49" s="19"/>
      <c r="G49" s="19"/>
      <c r="H49" s="19"/>
      <c r="I49" s="19"/>
      <c r="J49" s="19"/>
      <c r="K49" s="19"/>
      <c r="L49" s="19"/>
      <c r="M49" s="19"/>
      <c r="N49" s="19"/>
      <c r="O49" s="19"/>
      <c r="P49" s="19"/>
      <c r="Q49" s="19"/>
      <c r="R49" s="19"/>
      <c r="S49" s="19"/>
      <c r="T49" s="19"/>
      <c r="U49" s="19"/>
      <c r="V49" s="19"/>
      <c r="W49" s="19"/>
      <c r="X49" s="19"/>
      <c r="Y49" s="19"/>
      <c r="Z49" s="14" t="str">
        <f t="shared" si="1"/>
        <v/>
      </c>
      <c r="AA49" s="21" t="str">
        <f>IF(Z49="","",Z49/Clave!$G$19)</f>
        <v/>
      </c>
    </row>
    <row r="50" spans="1:27" x14ac:dyDescent="0.35">
      <c r="A50" s="19"/>
      <c r="B50" s="20"/>
      <c r="C50" s="19"/>
      <c r="D50" s="19"/>
      <c r="E50" s="19"/>
      <c r="F50" s="19"/>
      <c r="G50" s="19"/>
      <c r="H50" s="19"/>
      <c r="I50" s="19"/>
      <c r="J50" s="19"/>
      <c r="K50" s="19"/>
      <c r="L50" s="19"/>
      <c r="M50" s="19"/>
      <c r="N50" s="19"/>
      <c r="O50" s="19"/>
      <c r="P50" s="19"/>
      <c r="Q50" s="19"/>
      <c r="R50" s="19"/>
      <c r="S50" s="19"/>
      <c r="T50" s="19"/>
      <c r="U50" s="19"/>
      <c r="V50" s="19"/>
      <c r="W50" s="19"/>
      <c r="X50" s="19"/>
      <c r="Y50" s="19"/>
      <c r="Z50" s="14" t="str">
        <f t="shared" si="1"/>
        <v/>
      </c>
      <c r="AA50" s="21" t="str">
        <f>IF(Z50="","",Z50/Clave!$G$19)</f>
        <v/>
      </c>
    </row>
    <row r="51" spans="1:27" x14ac:dyDescent="0.35">
      <c r="A51" s="19"/>
      <c r="B51" s="20"/>
      <c r="C51" s="19"/>
      <c r="D51" s="19"/>
      <c r="E51" s="19"/>
      <c r="F51" s="19"/>
      <c r="G51" s="19"/>
      <c r="H51" s="19"/>
      <c r="I51" s="19"/>
      <c r="J51" s="19"/>
      <c r="K51" s="19"/>
      <c r="L51" s="19"/>
      <c r="M51" s="19"/>
      <c r="N51" s="19"/>
      <c r="O51" s="19"/>
      <c r="P51" s="19"/>
      <c r="Q51" s="19"/>
      <c r="R51" s="19"/>
      <c r="S51" s="19"/>
      <c r="T51" s="19"/>
      <c r="U51" s="19"/>
      <c r="V51" s="19"/>
      <c r="W51" s="19"/>
      <c r="X51" s="19"/>
      <c r="Y51" s="19"/>
      <c r="Z51" s="14" t="str">
        <f t="shared" si="1"/>
        <v/>
      </c>
      <c r="AA51" s="21" t="str">
        <f>IF(Z51="","",Z51/Clave!$G$19)</f>
        <v/>
      </c>
    </row>
    <row r="52" spans="1:27" x14ac:dyDescent="0.35">
      <c r="A52" s="19"/>
      <c r="B52" s="20"/>
      <c r="C52" s="19"/>
      <c r="D52" s="19"/>
      <c r="E52" s="19"/>
      <c r="F52" s="19"/>
      <c r="G52" s="19"/>
      <c r="H52" s="19"/>
      <c r="I52" s="19"/>
      <c r="J52" s="19"/>
      <c r="K52" s="19"/>
      <c r="L52" s="19"/>
      <c r="M52" s="19"/>
      <c r="N52" s="19"/>
      <c r="O52" s="19"/>
      <c r="P52" s="19"/>
      <c r="Q52" s="19"/>
      <c r="R52" s="19"/>
      <c r="S52" s="19"/>
      <c r="T52" s="19"/>
      <c r="U52" s="19"/>
      <c r="V52" s="19"/>
      <c r="W52" s="19"/>
      <c r="X52" s="19"/>
      <c r="Y52" s="19"/>
      <c r="Z52" s="14" t="str">
        <f t="shared" si="1"/>
        <v/>
      </c>
      <c r="AA52" s="21" t="str">
        <f>IF(Z52="","",Z52/Clave!$G$19)</f>
        <v/>
      </c>
    </row>
    <row r="53" spans="1:27" x14ac:dyDescent="0.35">
      <c r="A53" s="19"/>
      <c r="B53" s="20"/>
      <c r="C53" s="19"/>
      <c r="D53" s="19"/>
      <c r="E53" s="19"/>
      <c r="F53" s="19"/>
      <c r="G53" s="19"/>
      <c r="H53" s="19"/>
      <c r="I53" s="19"/>
      <c r="J53" s="19"/>
      <c r="K53" s="19"/>
      <c r="L53" s="19"/>
      <c r="M53" s="19"/>
      <c r="N53" s="19"/>
      <c r="O53" s="19"/>
      <c r="P53" s="19"/>
      <c r="Q53" s="19"/>
      <c r="R53" s="19"/>
      <c r="S53" s="19"/>
      <c r="T53" s="19"/>
      <c r="U53" s="19"/>
      <c r="V53" s="19"/>
      <c r="W53" s="19"/>
      <c r="X53" s="19"/>
      <c r="Y53" s="19"/>
      <c r="Z53" s="14" t="str">
        <f t="shared" si="1"/>
        <v/>
      </c>
      <c r="AA53" s="21" t="str">
        <f>IF(Z53="","",Z53/Clave!$G$19)</f>
        <v/>
      </c>
    </row>
    <row r="54" spans="1:27" x14ac:dyDescent="0.35">
      <c r="A54" s="19"/>
      <c r="B54" s="20"/>
      <c r="C54" s="19"/>
      <c r="D54" s="19"/>
      <c r="E54" s="19"/>
      <c r="F54" s="19"/>
      <c r="G54" s="19"/>
      <c r="H54" s="19"/>
      <c r="I54" s="19"/>
      <c r="J54" s="19"/>
      <c r="K54" s="19"/>
      <c r="L54" s="19"/>
      <c r="M54" s="19"/>
      <c r="N54" s="19"/>
      <c r="O54" s="19"/>
      <c r="P54" s="19"/>
      <c r="Q54" s="19"/>
      <c r="R54" s="19"/>
      <c r="S54" s="19"/>
      <c r="T54" s="19"/>
      <c r="U54" s="19"/>
      <c r="V54" s="19"/>
      <c r="W54" s="19"/>
      <c r="X54" s="19"/>
      <c r="Y54" s="19"/>
      <c r="Z54" s="14" t="str">
        <f t="shared" si="1"/>
        <v/>
      </c>
      <c r="AA54" s="21" t="str">
        <f>IF(Z54="","",Z54/Clave!$G$19)</f>
        <v/>
      </c>
    </row>
    <row r="55" spans="1:27" x14ac:dyDescent="0.35">
      <c r="A55" s="19"/>
      <c r="B55" s="20"/>
      <c r="C55" s="19"/>
      <c r="D55" s="19"/>
      <c r="E55" s="19"/>
      <c r="F55" s="19"/>
      <c r="G55" s="19"/>
      <c r="H55" s="19"/>
      <c r="I55" s="19"/>
      <c r="J55" s="19"/>
      <c r="K55" s="19"/>
      <c r="L55" s="19"/>
      <c r="M55" s="19"/>
      <c r="N55" s="19"/>
      <c r="O55" s="19"/>
      <c r="P55" s="19"/>
      <c r="Q55" s="19"/>
      <c r="R55" s="19"/>
      <c r="S55" s="19"/>
      <c r="T55" s="19"/>
      <c r="U55" s="19"/>
      <c r="V55" s="19"/>
      <c r="W55" s="19"/>
      <c r="X55" s="19"/>
      <c r="Y55" s="19"/>
      <c r="Z55" s="14" t="str">
        <f t="shared" si="1"/>
        <v/>
      </c>
      <c r="AA55" s="21" t="str">
        <f>IF(Z55="","",Z55/Clave!$G$19)</f>
        <v/>
      </c>
    </row>
    <row r="56" spans="1:27" x14ac:dyDescent="0.35">
      <c r="A56" s="19"/>
      <c r="B56" s="20"/>
      <c r="C56" s="19"/>
      <c r="D56" s="19"/>
      <c r="E56" s="19"/>
      <c r="F56" s="19"/>
      <c r="G56" s="19"/>
      <c r="H56" s="19"/>
      <c r="I56" s="19"/>
      <c r="J56" s="19"/>
      <c r="K56" s="19"/>
      <c r="L56" s="19"/>
      <c r="M56" s="19"/>
      <c r="N56" s="19"/>
      <c r="O56" s="19"/>
      <c r="P56" s="19"/>
      <c r="Q56" s="19"/>
      <c r="R56" s="19"/>
      <c r="S56" s="19"/>
      <c r="T56" s="19"/>
      <c r="U56" s="19"/>
      <c r="V56" s="19"/>
      <c r="W56" s="19"/>
      <c r="X56" s="19"/>
      <c r="Y56" s="19"/>
      <c r="Z56" s="14" t="str">
        <f t="shared" si="1"/>
        <v/>
      </c>
      <c r="AA56" s="21" t="str">
        <f>IF(Z56="","",Z56/Clave!$G$19)</f>
        <v/>
      </c>
    </row>
    <row r="57" spans="1:27" x14ac:dyDescent="0.35">
      <c r="A57" s="19"/>
      <c r="B57" s="20"/>
      <c r="C57" s="19"/>
      <c r="D57" s="19"/>
      <c r="E57" s="19"/>
      <c r="F57" s="19"/>
      <c r="G57" s="19"/>
      <c r="H57" s="19"/>
      <c r="I57" s="19"/>
      <c r="J57" s="19"/>
      <c r="K57" s="19"/>
      <c r="L57" s="19"/>
      <c r="M57" s="19"/>
      <c r="N57" s="19"/>
      <c r="O57" s="19"/>
      <c r="P57" s="19"/>
      <c r="Q57" s="19"/>
      <c r="R57" s="19"/>
      <c r="S57" s="19"/>
      <c r="T57" s="19"/>
      <c r="U57" s="19"/>
      <c r="V57" s="19"/>
      <c r="W57" s="19"/>
      <c r="X57" s="19"/>
      <c r="Y57" s="19"/>
      <c r="Z57" s="14" t="str">
        <f t="shared" si="1"/>
        <v/>
      </c>
      <c r="AA57" s="21" t="str">
        <f>IF(Z57="","",Z57/Clave!$G$19)</f>
        <v/>
      </c>
    </row>
    <row r="58" spans="1:27" x14ac:dyDescent="0.35">
      <c r="A58" s="19"/>
      <c r="B58" s="20"/>
      <c r="C58" s="19"/>
      <c r="D58" s="19"/>
      <c r="E58" s="19"/>
      <c r="F58" s="19"/>
      <c r="G58" s="19"/>
      <c r="H58" s="19"/>
      <c r="I58" s="19"/>
      <c r="J58" s="19"/>
      <c r="K58" s="19"/>
      <c r="L58" s="19"/>
      <c r="M58" s="19"/>
      <c r="N58" s="19"/>
      <c r="O58" s="19"/>
      <c r="P58" s="19"/>
      <c r="Q58" s="19"/>
      <c r="R58" s="19"/>
      <c r="S58" s="19"/>
      <c r="T58" s="19"/>
      <c r="U58" s="19"/>
      <c r="V58" s="19"/>
      <c r="W58" s="19"/>
      <c r="X58" s="19"/>
      <c r="Y58" s="19"/>
      <c r="Z58" s="14" t="str">
        <f t="shared" si="1"/>
        <v/>
      </c>
      <c r="AA58" s="21" t="str">
        <f>IF(Z58="","",Z58/Clave!$G$19)</f>
        <v/>
      </c>
    </row>
    <row r="59" spans="1:27" x14ac:dyDescent="0.35">
      <c r="A59" s="19"/>
      <c r="B59" s="20"/>
      <c r="C59" s="19"/>
      <c r="D59" s="19"/>
      <c r="E59" s="19"/>
      <c r="F59" s="19"/>
      <c r="G59" s="19"/>
      <c r="H59" s="19"/>
      <c r="I59" s="19"/>
      <c r="J59" s="19"/>
      <c r="K59" s="19"/>
      <c r="L59" s="19"/>
      <c r="M59" s="19"/>
      <c r="N59" s="19"/>
      <c r="O59" s="19"/>
      <c r="P59" s="19"/>
      <c r="Q59" s="19"/>
      <c r="R59" s="19"/>
      <c r="S59" s="19"/>
      <c r="T59" s="19"/>
      <c r="U59" s="19"/>
      <c r="V59" s="19"/>
      <c r="W59" s="19"/>
      <c r="X59" s="19"/>
      <c r="Y59" s="19"/>
      <c r="Z59" s="14" t="str">
        <f t="shared" si="1"/>
        <v/>
      </c>
      <c r="AA59" s="21" t="str">
        <f>IF(Z59="","",Z59/Clave!$G$19)</f>
        <v/>
      </c>
    </row>
    <row r="60" spans="1:27" x14ac:dyDescent="0.35">
      <c r="A60" s="19"/>
      <c r="B60" s="20"/>
      <c r="C60" s="19"/>
      <c r="D60" s="19"/>
      <c r="E60" s="19"/>
      <c r="F60" s="19"/>
      <c r="G60" s="19"/>
      <c r="H60" s="19"/>
      <c r="I60" s="19"/>
      <c r="J60" s="19"/>
      <c r="K60" s="19"/>
      <c r="L60" s="19"/>
      <c r="M60" s="19"/>
      <c r="N60" s="19"/>
      <c r="O60" s="19"/>
      <c r="P60" s="19"/>
      <c r="Q60" s="19"/>
      <c r="R60" s="19"/>
      <c r="S60" s="19"/>
      <c r="T60" s="19"/>
      <c r="U60" s="19"/>
      <c r="V60" s="19"/>
      <c r="W60" s="19"/>
      <c r="X60" s="19"/>
      <c r="Y60" s="19"/>
      <c r="Z60" s="14" t="str">
        <f t="shared" si="1"/>
        <v/>
      </c>
      <c r="AA60" s="21" t="str">
        <f>IF(Z60="","",Z60/Clave!$G$19)</f>
        <v/>
      </c>
    </row>
    <row r="61" spans="1:27" x14ac:dyDescent="0.35">
      <c r="A61" s="19"/>
      <c r="B61" s="20"/>
      <c r="C61" s="19"/>
      <c r="D61" s="19"/>
      <c r="E61" s="19"/>
      <c r="F61" s="19"/>
      <c r="G61" s="19"/>
      <c r="H61" s="19"/>
      <c r="I61" s="19"/>
      <c r="J61" s="19"/>
      <c r="K61" s="19"/>
      <c r="L61" s="19"/>
      <c r="M61" s="19"/>
      <c r="N61" s="19"/>
      <c r="O61" s="19"/>
      <c r="P61" s="19"/>
      <c r="Q61" s="19"/>
      <c r="R61" s="19"/>
      <c r="S61" s="19"/>
      <c r="T61" s="19"/>
      <c r="U61" s="19"/>
      <c r="V61" s="19"/>
      <c r="W61" s="19"/>
      <c r="X61" s="19"/>
      <c r="Y61" s="19"/>
      <c r="Z61" s="14" t="str">
        <f t="shared" si="1"/>
        <v/>
      </c>
      <c r="AA61" s="21" t="str">
        <f>IF(Z61="","",Z61/Clave!$G$19)</f>
        <v/>
      </c>
    </row>
    <row r="62" spans="1:27" x14ac:dyDescent="0.35">
      <c r="A62" s="19"/>
      <c r="B62" s="20"/>
      <c r="C62" s="19"/>
      <c r="D62" s="19"/>
      <c r="E62" s="19"/>
      <c r="F62" s="19"/>
      <c r="G62" s="19"/>
      <c r="H62" s="19"/>
      <c r="I62" s="19"/>
      <c r="J62" s="19"/>
      <c r="K62" s="19"/>
      <c r="L62" s="19"/>
      <c r="M62" s="19"/>
      <c r="N62" s="19"/>
      <c r="O62" s="19"/>
      <c r="P62" s="19"/>
      <c r="Q62" s="19"/>
      <c r="R62" s="19"/>
      <c r="S62" s="19"/>
      <c r="T62" s="19"/>
      <c r="U62" s="19"/>
      <c r="V62" s="19"/>
      <c r="W62" s="19"/>
      <c r="X62" s="19"/>
      <c r="Y62" s="19"/>
      <c r="Z62" s="14" t="str">
        <f t="shared" si="1"/>
        <v/>
      </c>
      <c r="AA62" s="21" t="str">
        <f>IF(Z62="","",Z62/Clave!$G$19)</f>
        <v/>
      </c>
    </row>
    <row r="63" spans="1:27" x14ac:dyDescent="0.35">
      <c r="A63" s="19"/>
      <c r="B63" s="20"/>
      <c r="C63" s="19"/>
      <c r="D63" s="19"/>
      <c r="E63" s="19"/>
      <c r="F63" s="19"/>
      <c r="G63" s="19"/>
      <c r="H63" s="19"/>
      <c r="I63" s="19"/>
      <c r="J63" s="19"/>
      <c r="K63" s="19"/>
      <c r="L63" s="19"/>
      <c r="M63" s="19"/>
      <c r="N63" s="19"/>
      <c r="O63" s="19"/>
      <c r="P63" s="19"/>
      <c r="Q63" s="19"/>
      <c r="R63" s="19"/>
      <c r="S63" s="19"/>
      <c r="T63" s="19"/>
      <c r="U63" s="19"/>
      <c r="V63" s="19"/>
      <c r="W63" s="19"/>
      <c r="X63" s="19"/>
      <c r="Y63" s="19"/>
      <c r="Z63" s="14" t="str">
        <f t="shared" si="1"/>
        <v/>
      </c>
      <c r="AA63" s="21" t="str">
        <f>IF(Z63="","",Z63/Clave!$G$19)</f>
        <v/>
      </c>
    </row>
    <row r="64" spans="1:27" x14ac:dyDescent="0.35">
      <c r="A64" s="19"/>
      <c r="B64" s="20"/>
      <c r="C64" s="19"/>
      <c r="D64" s="19"/>
      <c r="E64" s="19"/>
      <c r="F64" s="19"/>
      <c r="G64" s="19"/>
      <c r="H64" s="19"/>
      <c r="I64" s="19"/>
      <c r="J64" s="19"/>
      <c r="K64" s="19"/>
      <c r="L64" s="19"/>
      <c r="M64" s="19"/>
      <c r="N64" s="19"/>
      <c r="O64" s="19"/>
      <c r="P64" s="19"/>
      <c r="Q64" s="19"/>
      <c r="R64" s="19"/>
      <c r="S64" s="19"/>
      <c r="T64" s="19"/>
      <c r="U64" s="19"/>
      <c r="V64" s="19"/>
      <c r="W64" s="19"/>
      <c r="X64" s="19"/>
      <c r="Y64" s="19"/>
      <c r="Z64" s="14" t="str">
        <f t="shared" si="1"/>
        <v/>
      </c>
      <c r="AA64" s="21" t="str">
        <f>IF(Z64="","",Z64/Clave!$G$19)</f>
        <v/>
      </c>
    </row>
    <row r="65" spans="1:27" x14ac:dyDescent="0.35">
      <c r="A65" s="19"/>
      <c r="B65" s="20"/>
      <c r="C65" s="19"/>
      <c r="D65" s="19"/>
      <c r="E65" s="19"/>
      <c r="F65" s="19"/>
      <c r="G65" s="19"/>
      <c r="H65" s="19"/>
      <c r="I65" s="19"/>
      <c r="J65" s="19"/>
      <c r="K65" s="19"/>
      <c r="L65" s="19"/>
      <c r="M65" s="19"/>
      <c r="N65" s="19"/>
      <c r="O65" s="19"/>
      <c r="P65" s="19"/>
      <c r="Q65" s="19"/>
      <c r="R65" s="19"/>
      <c r="S65" s="19"/>
      <c r="T65" s="19"/>
      <c r="U65" s="19"/>
      <c r="V65" s="19"/>
      <c r="W65" s="19"/>
      <c r="X65" s="19"/>
      <c r="Y65" s="19"/>
      <c r="Z65" s="14" t="str">
        <f t="shared" si="1"/>
        <v/>
      </c>
      <c r="AA65" s="21" t="str">
        <f>IF(Z65="","",Z65/Clave!$G$19)</f>
        <v/>
      </c>
    </row>
    <row r="66" spans="1:27" x14ac:dyDescent="0.35">
      <c r="A66" s="19"/>
      <c r="B66" s="20"/>
      <c r="C66" s="19"/>
      <c r="D66" s="19"/>
      <c r="E66" s="19"/>
      <c r="F66" s="19"/>
      <c r="G66" s="19"/>
      <c r="H66" s="19"/>
      <c r="I66" s="19"/>
      <c r="J66" s="19"/>
      <c r="K66" s="19"/>
      <c r="L66" s="19"/>
      <c r="M66" s="19"/>
      <c r="N66" s="19"/>
      <c r="O66" s="19"/>
      <c r="P66" s="19"/>
      <c r="Q66" s="19"/>
      <c r="R66" s="19"/>
      <c r="S66" s="19"/>
      <c r="T66" s="19"/>
      <c r="U66" s="19"/>
      <c r="V66" s="19"/>
      <c r="W66" s="19"/>
      <c r="X66" s="19"/>
      <c r="Y66" s="19"/>
      <c r="Z66" s="14" t="str">
        <f t="shared" si="1"/>
        <v/>
      </c>
      <c r="AA66" s="21" t="str">
        <f>IF(Z66="","",Z66/Clave!$G$19)</f>
        <v/>
      </c>
    </row>
  </sheetData>
  <conditionalFormatting sqref="N6:Y66">
    <cfRule type="expression" dxfId="1" priority="1">
      <formula>AND(N6&lt;&gt;"",N6=N$3)</formula>
    </cfRule>
  </conditionalFormatting>
  <dataValidations count="2">
    <dataValidation type="whole" allowBlank="1" errorTitle="Valor no válido" error="Escribe un número entero de 1 a 5." sqref="C7 C8 C9 C10 C11 C12 C13 C14 C15 C16 C17 C18 C19 C20 C21 C22 C23 C24 C25 C26 C27 C28 C29 C30 C31 C32 C33 C34 C35 C36 C37 C38 C39 C40 C41 C42 C43 C44 C45 C46 C47 C48 C49 C50 C51 C52 C53 C54 C55 C56 C57 C58 C59 C60 C61 C62 C63 C64 C65 C66 D7 D8 D9 D10 D11 D12 D13 D14 D15 D16 D17 D18 D19 D20 D21 D22 D23 D24 D25 D26 D27 D28 D29 D30 D31 D32 D33 D34 D35 D36 D37 D38 D39 D40 D41 D42 D43 D44 D45 D46 D47 D48 D49 D50 D51 D52 D53 D54 D55 D56 D57 D58 D59 D60 D61 D62 D63 D64 D65 D66 E7 E8 E9 E10 E11 E12 E13 E14 E15 E16 E17 E18 E19 E20 E21 E22 E23 E24 E25 E26 E27 E28 E29 E30 E31 E32 E33 E34 E35 E36 E37 E38 E39 E40 E41 E42 E43 E44 E45 E46 E47 E48 E49 E50 E51 E52 E53 E54 E55 E56 E57 E58 E59 E60 E61 E62 E63 E64 E65 E66 F7 F8 F9 F10 F11 F12 F13 F14 F15 F16 F17 F18 F19 F20 F21 F22 F23 F24 F25 F26 F27 F28 F29 F30 F31 F32 F33 F34 F35 F36 F37 F38 F39 F40 F41 F42 F43 F44 F45 F46 F47 F48 F49 F50 F51 F52 F53 F54 F55 F56 F57 F58 F59 F60 F61 F62 F63 F64 F65 F66 G7 G8 G9 G10 G11 G12 G13 G14 G15 G16 G17 G18 G19 G20 G21 G22 G23 G24 G25 G26 G27 G28 G29 G30 G31 G32 G33 G34 G35 G36 G37 G38 G39 G40 G41 G42 G43 G44 G45 G46 G47 G48 G49 G50 G51 G52 G53 G54 G55 G56 G57 G58 G59 G60 G61 G62 G63 G64 G65 G66 H7 H8 H9 H10 H11 H12 H13 H14 H15 H16 H17 H18 H19 H20 H21 H22 H23 H24 H25 H26 H27 H28 H29 H30 H31 H32 H33 H34 H35 H36 H37 H38 H39 H40 H41 H42 H43 H44 H45 H46 H47 H48 H49 H50 H51 H52 H53 H54 H55 H56 H57 H58 H59 H60 H61 H62 H63 H64 H65 H66 I7 I8 I9 I10 I11 I12 I13 I14 I15 I16 I17 I18 I19 I20 I21 I22 I23 I24 I25 I26 I27 I28 I29 I30 I31 I32 I33 I34 I35 I36 I37 I38 I39 I40 I41 I42 I43 I44 I45 I46 I47 I48 I49 I50 I51 I52 I53 I54 I55 I56 I57 I58 I59 I60 I61 I62 I63 I64 I65 I66 J7 J8 J9 J10 J11 J12 J13 J14 J15 J16 J17 J18 J19 J20 J21 J22 J23 J24 J25 J26 J27 J28 J29 J30 J31 J32 J33 J34 J35 J36 J37 J38 J39 J40 J41 J42 J43 J44 J45 J46 J47 J48 J49 J50 J51 J52 J53 J54 J55 J56 J57 J58 J59 J60 J61 J62 J63 J64 J65 J66 K7 K8 K9 K10 K11 K12 K13 K14 K15 K16 K17 K18 K19 K20 K21 K22 K23 K24 K25 K26 K27 K28 K29 K30 K31 K32 K33 K34 K35 K36 K37 K38 K39 K40 K41 K42 K43 K44 K45 K46 K47 K48 K49 K50 K51 K52 K53 K54 K55 K56 K57 K58 K59 K60 K61 K62 K63 K64 K65 K66 L7 L8 L9 L10 L11 L12 L13 L14 L15 L16 L17 L18 L19 L20 L21 L22 L23 L24 L25 L26 L27 L28 L29 L30 L31 L32 L33 L34 L35 L36 L37 L38 L39 L40 L41 L42 L43 L44 L45 L46 L47 L48 L49 L50 L51 L52 L53 L54 L55 L56 L57 L58 L59 L60 L61 L62 L63 L64 L65 L66 M7 M8 M9 M10 M11 M12 M13 M14 M15 M16 M17 M18 M19 M20 M21 M22 M23 M24 M25 M26 M27 M28 M29 M30 M31 M32 M33 M34 M35 M36 M37 M38 M39 M40 M41 M42 M43 M44 M45 M46 M47 M48 M49 M50 M51 M52 M53 M54 M55 M56 M57 M58 M59 M60 M61 M62 M63 M64 M65 M66" xr:uid="{00000000-0002-0000-0400-000000000000}">
      <formula1>1</formula1>
      <formula2>5</formula2>
    </dataValidation>
    <dataValidation type="list" allowBlank="1" errorTitle="Valor no válido" error="Escribe A, B, C, D o E (E = No lo sé)." sqref="N7 N8 N9 N10 N11 N12 N13 N14 N15 N16 N17 N18 N19 N20 N21 N22 N23 N24 N25 N26 N27 N28 N29 N30 N31 N32 N33 N34 N35 N36 N37 N38 N39 N40 N41 N42 N43 N44 N45 N46 N47 N48 N49 N50 N51 N52 N53 N54 N55 N56 N57 N58 N59 N60 N61 N62 N63 N64 N65 N66 O7 O8 O9 O10 O11 O12 O13 O14 O15 O16 O17 O18 O19 O20 O21 O22 O23 O24 O25 O26 O27 O28 O29 O30 O31 O32 O33 O34 O35 O36 O37 O38 O39 O40 O41 O42 O43 O44 O45 O46 O47 O48 O49 O50 O51 O52 O53 O54 O55 O56 O57 O58 O59 O60 O61 O62 O63 O64 O65 O66 P7 P8 P9 P10 P11 P12 P13 P14 P15 P16 P17 P18 P19 P20 P21 P22 P23 P24 P25 P26 P27 P28 P29 P30 P31 P32 P33 P34 P35 P36 P37 P38 P39 P40 P41 P42 P43 P44 P45 P46 P47 P48 P49 P50 P51 P52 P53 P54 P55 P56 P57 P58 P59 P60 P61 P62 P63 P64 P65 P66 Q7 Q8 Q9 Q10 Q11 Q12 Q13 Q14 Q15 Q16 Q17 Q18 Q19 Q20 Q21 Q22 Q23 Q24 Q25 Q26 Q27 Q28 Q29 Q30 Q31 Q32 Q33 Q34 Q35 Q36 Q37 Q38 Q39 Q40 Q41 Q42 Q43 Q44 Q45 Q46 Q47 Q48 Q49 Q50 Q51 Q52 Q53 Q54 Q55 Q56 Q57 Q58 Q59 Q60 Q61 Q62 Q63 Q64 Q65 Q66 R7 R8 R9 R10 R11 R12 R13 R14 R15 R16 R17 R18 R19 R20 R21 R22 R23 R24 R25 R26 R27 R28 R29 R30 R31 R32 R33 R34 R35 R36 R37 R38 R39 R40 R41 R42 R43 R44 R45 R46 R47 R48 R49 R50 R51 R52 R53 R54 R55 R56 R57 R58 R59 R60 R61 R62 R63 R64 R65 R66 S7 S8 S9 S10 S11 S12 S13 S14 S15 S16 S17 S18 S19 S20 S21 S22 S23 S24 S25 S26 S27 S28 S29 S30 S31 S32 S33 S34 S35 S36 S37 S38 S39 S40 S41 S42 S43 S44 S45 S46 S47 S48 S49 S50 S51 S52 S53 S54 S55 S56 S57 S58 S59 S60 S61 S62 S63 S64 S65 S66 T7 T8 T9 T10 T11 T12 T13 T14 T15 T16 T17 T18 T19 T20 T21 T22 T23 T24 T25 T26 T27 T28 T29 T30 T31 T32 T33 T34 T35 T36 T37 T38 T39 T40 T41 T42 T43 T44 T45 T46 T47 T48 T49 T50 T51 T52 T53 T54 T55 T56 T57 T58 T59 T60 T61 T62 T63 T64 T65 T66 U7 U8 U9 U10 U11 U12 U13 U14 U15 U16 U17 U18 U19 U20 U21 U22 U23 U24 U25 U26 U27 U28 U29 U30 U31 U32 U33 U34 U35 U36 U37 U38 U39 U40 U41 U42 U43 U44 U45 U46 U47 U48 U49 U50 U51 U52 U53 U54 U55 U56 U57 U58 U59 U60 U61 U62 U63 U64 U65 U66 V7 V8 V9 V10 V11 V12 V13 V14 V15 V16 V17 V18 V19 V20 V21 V22 V23 V24 V25 V26 V27 V28 V29 V30 V31 V32 V33 V34 V35 V36 V37 V38 V39 V40 V41 V42 V43 V44 V45 V46 V47 V48 V49 V50 V51 V52 V53 V54 V55 V56 V57 V58 V59 V60 V61 V62 V63 V64 V65 V66 W7 W8 W9 W10 W11 W12 W13 W14 W15 W16 W17 W18 W19 W20 W21 W22 W23 W24 W25 W26 W27 W28 W29 W30 W31 W32 W33 W34 W35 W36 W37 W38 W39 W40 W41 W42 W43 W44 W45 W46 W47 W48 W49 W50 W51 W52 W53 W54 W55 W56 W57 W58 W59 W60 W61 W62 W63 W64 W65 W66 X7 X8 X9 X10 X11 X12 X13 X14 X15 X16 X17 X18 X19 X20 X21 X22 X23 X24 X25 X26 X27 X28 X29 X30 X31 X32 X33 X34 X35 X36 X37 X38 X39 X40 X41 X42 X43 X44 X45 X46 X47 X48 X49 X50 X51 X52 X53 X54 X55 X56 X57 X58 X59 X60 X61 X62 X63 X64 X65 X66 Y7 Y8 Y9 Y10 Y11 Y12 Y13 Y14 Y15 Y16 Y17 Y18 Y19 Y20 Y21 Y22 Y23 Y24 Y25 Y26 Y27 Y28 Y29 Y30 Y31 Y32 Y33 Y34 Y35 Y36 Y37 Y38 Y39 Y40 Y41 Y42 Y43 Y44 Y45 Y46 Y47 Y48 Y49 Y50 Y51 Y52 Y53 Y54 Y55 Y56 Y57 Y58 Y59 Y60 Y61 Y62 Y63 Y64 Y65 Y66" xr:uid="{00000000-0002-0000-0400-000001000000}">
      <formula1>"A,B,C,D,E"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66"/>
  <sheetViews>
    <sheetView workbookViewId="0">
      <pane xSplit="1" ySplit="6" topLeftCell="B7" activePane="bottomRight" state="frozen"/>
      <selection pane="topRight"/>
      <selection pane="bottomLeft"/>
      <selection pane="bottomRight"/>
    </sheetView>
  </sheetViews>
  <sheetFormatPr baseColWidth="10" defaultColWidth="8.7265625" defaultRowHeight="14.5" x14ac:dyDescent="0.35"/>
  <cols>
    <col min="1" max="1" width="13" customWidth="1"/>
    <col min="2" max="31" width="7" customWidth="1"/>
    <col min="32" max="34" width="34" customWidth="1"/>
    <col min="35" max="35" width="10" customWidth="1"/>
    <col min="36" max="36" width="11" customWidth="1"/>
    <col min="37" max="37" width="14" customWidth="1"/>
    <col min="38" max="38" width="11" customWidth="1"/>
  </cols>
  <sheetData>
    <row r="1" spans="1:38" ht="108" x14ac:dyDescent="0.35">
      <c r="A1" s="1" t="s">
        <v>216</v>
      </c>
    </row>
    <row r="2" spans="1:38" x14ac:dyDescent="0.35">
      <c r="A2" s="15" t="s">
        <v>217</v>
      </c>
    </row>
    <row r="3" spans="1:38" ht="26" x14ac:dyDescent="0.35">
      <c r="A3" s="2" t="s">
        <v>171</v>
      </c>
      <c r="J3" s="13" t="str">
        <f>Clave!$D$6</f>
        <v>B</v>
      </c>
      <c r="K3" s="13" t="str">
        <f>Clave!$D$7</f>
        <v>C</v>
      </c>
      <c r="L3" s="13" t="str">
        <f>Clave!$D$8</f>
        <v>D</v>
      </c>
      <c r="M3" s="13" t="str">
        <f>Clave!$D$9</f>
        <v>A</v>
      </c>
      <c r="N3" s="13" t="str">
        <f>Clave!$D$10</f>
        <v>B</v>
      </c>
      <c r="O3" s="13" t="str">
        <f>Clave!$D$11</f>
        <v>D</v>
      </c>
      <c r="P3" s="13" t="str">
        <f>Clave!$D$12</f>
        <v>C</v>
      </c>
      <c r="Q3" s="13" t="str">
        <f>Clave!$D$13</f>
        <v>A</v>
      </c>
      <c r="R3" s="13" t="str">
        <f>Clave!$D$14</f>
        <v>A</v>
      </c>
      <c r="S3" s="13" t="str">
        <f>Clave!$D$15</f>
        <v>B</v>
      </c>
      <c r="T3" s="13" t="str">
        <f>Clave!$D$16</f>
        <v>C</v>
      </c>
      <c r="U3" s="13" t="str">
        <f>Clave!$D$17</f>
        <v>D</v>
      </c>
    </row>
    <row r="4" spans="1:38" x14ac:dyDescent="0.35">
      <c r="A4" s="2" t="s">
        <v>209</v>
      </c>
      <c r="J4" s="14" t="str">
        <f>Clave!$G$6</f>
        <v>Sí</v>
      </c>
      <c r="K4" s="14" t="str">
        <f>Clave!$G$7</f>
        <v>Sí</v>
      </c>
      <c r="L4" s="14" t="str">
        <f>Clave!$G$8</f>
        <v>Sí</v>
      </c>
      <c r="M4" s="14" t="str">
        <f>Clave!$G$9</f>
        <v>Sí</v>
      </c>
      <c r="N4" s="14" t="str">
        <f>Clave!$G$10</f>
        <v>Sí</v>
      </c>
      <c r="O4" s="14" t="str">
        <f>Clave!$G$11</f>
        <v>Sí</v>
      </c>
      <c r="P4" s="14" t="str">
        <f>Clave!$G$12</f>
        <v>Sí</v>
      </c>
      <c r="Q4" s="14" t="str">
        <f>Clave!$G$13</f>
        <v>Sí</v>
      </c>
      <c r="R4" s="14" t="str">
        <f>Clave!$G$14</f>
        <v>Sí</v>
      </c>
      <c r="S4" s="14" t="str">
        <f>Clave!$G$15</f>
        <v>Sí</v>
      </c>
      <c r="T4" s="14" t="str">
        <f>Clave!$G$16</f>
        <v>Sí</v>
      </c>
      <c r="U4" s="14" t="str">
        <f>Clave!$G$17</f>
        <v>Sí</v>
      </c>
    </row>
    <row r="5" spans="1:38" ht="30" customHeight="1" x14ac:dyDescent="0.35">
      <c r="A5" s="12" t="s">
        <v>32</v>
      </c>
      <c r="B5" s="12" t="s">
        <v>44</v>
      </c>
      <c r="C5" s="12" t="s">
        <v>46</v>
      </c>
      <c r="D5" s="12" t="s">
        <v>48</v>
      </c>
      <c r="E5" s="12" t="s">
        <v>50</v>
      </c>
      <c r="F5" s="12" t="s">
        <v>52</v>
      </c>
      <c r="G5" s="12" t="s">
        <v>54</v>
      </c>
      <c r="H5" s="12" t="s">
        <v>56</v>
      </c>
      <c r="I5" s="12" t="s">
        <v>58</v>
      </c>
      <c r="J5" s="12" t="s">
        <v>61</v>
      </c>
      <c r="K5" s="12" t="s">
        <v>68</v>
      </c>
      <c r="L5" s="12" t="s">
        <v>74</v>
      </c>
      <c r="M5" s="12" t="s">
        <v>80</v>
      </c>
      <c r="N5" s="12" t="s">
        <v>86</v>
      </c>
      <c r="O5" s="12" t="s">
        <v>92</v>
      </c>
      <c r="P5" s="12" t="s">
        <v>98</v>
      </c>
      <c r="Q5" s="12" t="s">
        <v>104</v>
      </c>
      <c r="R5" s="12" t="s">
        <v>109</v>
      </c>
      <c r="S5" s="12" t="s">
        <v>115</v>
      </c>
      <c r="T5" s="12" t="s">
        <v>121</v>
      </c>
      <c r="U5" s="12" t="s">
        <v>127</v>
      </c>
      <c r="V5" s="12" t="s">
        <v>137</v>
      </c>
      <c r="W5" s="12" t="s">
        <v>139</v>
      </c>
      <c r="X5" s="12" t="s">
        <v>141</v>
      </c>
      <c r="Y5" s="12" t="s">
        <v>143</v>
      </c>
      <c r="Z5" s="12" t="s">
        <v>145</v>
      </c>
      <c r="AA5" s="12" t="s">
        <v>147</v>
      </c>
      <c r="AB5" s="12" t="s">
        <v>149</v>
      </c>
      <c r="AC5" s="12" t="s">
        <v>151</v>
      </c>
      <c r="AD5" s="12" t="s">
        <v>153</v>
      </c>
      <c r="AE5" s="12" t="s">
        <v>155</v>
      </c>
      <c r="AF5" s="12" t="s">
        <v>158</v>
      </c>
      <c r="AG5" s="12" t="s">
        <v>160</v>
      </c>
      <c r="AH5" s="12" t="s">
        <v>162</v>
      </c>
      <c r="AI5" s="12" t="s">
        <v>211</v>
      </c>
      <c r="AJ5" s="12" t="s">
        <v>212</v>
      </c>
      <c r="AK5" s="12" t="s">
        <v>218</v>
      </c>
      <c r="AL5" s="12" t="s">
        <v>219</v>
      </c>
    </row>
    <row r="6" spans="1:38" x14ac:dyDescent="0.35">
      <c r="A6" s="16" t="s">
        <v>213</v>
      </c>
      <c r="B6" s="16">
        <v>4</v>
      </c>
      <c r="C6" s="16">
        <v>4</v>
      </c>
      <c r="D6" s="16">
        <v>4</v>
      </c>
      <c r="E6" s="16">
        <v>3</v>
      </c>
      <c r="F6" s="16">
        <v>4</v>
      </c>
      <c r="G6" s="16">
        <v>4</v>
      </c>
      <c r="H6" s="16">
        <v>3</v>
      </c>
      <c r="I6" s="16">
        <v>4</v>
      </c>
      <c r="J6" s="16" t="s">
        <v>176</v>
      </c>
      <c r="K6" s="16" t="s">
        <v>180</v>
      </c>
      <c r="L6" s="16" t="s">
        <v>183</v>
      </c>
      <c r="M6" s="16" t="s">
        <v>186</v>
      </c>
      <c r="N6" s="16" t="s">
        <v>176</v>
      </c>
      <c r="O6" s="16" t="s">
        <v>183</v>
      </c>
      <c r="P6" s="16" t="s">
        <v>180</v>
      </c>
      <c r="Q6" s="16" t="s">
        <v>176</v>
      </c>
      <c r="R6" s="16" t="s">
        <v>186</v>
      </c>
      <c r="S6" s="16" t="s">
        <v>176</v>
      </c>
      <c r="T6" s="16" t="s">
        <v>176</v>
      </c>
      <c r="U6" s="16" t="s">
        <v>183</v>
      </c>
      <c r="V6" s="16">
        <v>5</v>
      </c>
      <c r="W6" s="16">
        <v>4</v>
      </c>
      <c r="X6" s="16">
        <v>5</v>
      </c>
      <c r="Y6" s="16">
        <v>5</v>
      </c>
      <c r="Z6" s="16">
        <v>4</v>
      </c>
      <c r="AA6" s="16">
        <v>4</v>
      </c>
      <c r="AB6" s="16">
        <v>5</v>
      </c>
      <c r="AC6" s="16">
        <v>4</v>
      </c>
      <c r="AD6" s="16">
        <v>3</v>
      </c>
      <c r="AE6" s="16">
        <v>5</v>
      </c>
      <c r="AF6" s="16" t="s">
        <v>220</v>
      </c>
      <c r="AG6" s="16" t="s">
        <v>221</v>
      </c>
      <c r="AH6" s="16" t="s">
        <v>222</v>
      </c>
      <c r="AI6" s="17">
        <f t="shared" ref="AI6:AI37" si="0">IF($A6="","",SUMPRODUCT((J6:U6=J$3:U$3)*(J$4:U$4="Sí")))</f>
        <v>10</v>
      </c>
      <c r="AJ6" s="18">
        <f>IF(AI6="","",AI6/Clave!$G$19)</f>
        <v>0.83333333333333337</v>
      </c>
      <c r="AK6" s="17">
        <f>'Respuestas PRE'!Z6</f>
        <v>3</v>
      </c>
      <c r="AL6" s="17">
        <f t="shared" ref="AL6:AL37" si="1">IF(OR(AI6="",AK6=""),"",AI6-AK6)</f>
        <v>7</v>
      </c>
    </row>
    <row r="7" spans="1:38" x14ac:dyDescent="0.3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20"/>
      <c r="AG7" s="20"/>
      <c r="AH7" s="20"/>
      <c r="AI7" s="14" t="str">
        <f t="shared" si="0"/>
        <v/>
      </c>
      <c r="AJ7" s="21" t="str">
        <f>IF(AI7="","",AI7/Clave!$G$19)</f>
        <v/>
      </c>
      <c r="AK7" s="14" t="str">
        <f>IF($A7="","",IFERROR(INDEX('Respuestas PRE'!$Z$7:$Z$66,MATCH($A7,'Respuestas PRE'!$A$7:$A$66,0)),""))</f>
        <v/>
      </c>
      <c r="AL7" s="14" t="str">
        <f t="shared" si="1"/>
        <v/>
      </c>
    </row>
    <row r="8" spans="1:38" x14ac:dyDescent="0.3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c r="AG8" s="20"/>
      <c r="AH8" s="20"/>
      <c r="AI8" s="14" t="str">
        <f t="shared" si="0"/>
        <v/>
      </c>
      <c r="AJ8" s="21" t="str">
        <f>IF(AI8="","",AI8/Clave!$G$19)</f>
        <v/>
      </c>
      <c r="AK8" s="14" t="str">
        <f>IF($A8="","",IFERROR(INDEX('Respuestas PRE'!$Z$7:$Z$66,MATCH($A8,'Respuestas PRE'!$A$7:$A$66,0)),""))</f>
        <v/>
      </c>
      <c r="AL8" s="14" t="str">
        <f t="shared" si="1"/>
        <v/>
      </c>
    </row>
    <row r="9" spans="1:38" x14ac:dyDescent="0.3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20"/>
      <c r="AG9" s="20"/>
      <c r="AH9" s="20"/>
      <c r="AI9" s="14" t="str">
        <f t="shared" si="0"/>
        <v/>
      </c>
      <c r="AJ9" s="21" t="str">
        <f>IF(AI9="","",AI9/Clave!$G$19)</f>
        <v/>
      </c>
      <c r="AK9" s="14" t="str">
        <f>IF($A9="","",IFERROR(INDEX('Respuestas PRE'!$Z$7:$Z$66,MATCH($A9,'Respuestas PRE'!$A$7:$A$66,0)),""))</f>
        <v/>
      </c>
      <c r="AL9" s="14" t="str">
        <f t="shared" si="1"/>
        <v/>
      </c>
    </row>
    <row r="10" spans="1:38" x14ac:dyDescent="0.3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20"/>
      <c r="AG10" s="20"/>
      <c r="AH10" s="20"/>
      <c r="AI10" s="14" t="str">
        <f t="shared" si="0"/>
        <v/>
      </c>
      <c r="AJ10" s="21" t="str">
        <f>IF(AI10="","",AI10/Clave!$G$19)</f>
        <v/>
      </c>
      <c r="AK10" s="14" t="str">
        <f>IF($A10="","",IFERROR(INDEX('Respuestas PRE'!$Z$7:$Z$66,MATCH($A10,'Respuestas PRE'!$A$7:$A$66,0)),""))</f>
        <v/>
      </c>
      <c r="AL10" s="14" t="str">
        <f t="shared" si="1"/>
        <v/>
      </c>
    </row>
    <row r="11" spans="1:38" x14ac:dyDescent="0.3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20"/>
      <c r="AG11" s="20"/>
      <c r="AH11" s="20"/>
      <c r="AI11" s="14" t="str">
        <f t="shared" si="0"/>
        <v/>
      </c>
      <c r="AJ11" s="21" t="str">
        <f>IF(AI11="","",AI11/Clave!$G$19)</f>
        <v/>
      </c>
      <c r="AK11" s="14" t="str">
        <f>IF($A11="","",IFERROR(INDEX('Respuestas PRE'!$Z$7:$Z$66,MATCH($A11,'Respuestas PRE'!$A$7:$A$66,0)),""))</f>
        <v/>
      </c>
      <c r="AL11" s="14" t="str">
        <f t="shared" si="1"/>
        <v/>
      </c>
    </row>
    <row r="12" spans="1:38" x14ac:dyDescent="0.3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20"/>
      <c r="AG12" s="20"/>
      <c r="AH12" s="20"/>
      <c r="AI12" s="14" t="str">
        <f t="shared" si="0"/>
        <v/>
      </c>
      <c r="AJ12" s="21" t="str">
        <f>IF(AI12="","",AI12/Clave!$G$19)</f>
        <v/>
      </c>
      <c r="AK12" s="14" t="str">
        <f>IF($A12="","",IFERROR(INDEX('Respuestas PRE'!$Z$7:$Z$66,MATCH($A12,'Respuestas PRE'!$A$7:$A$66,0)),""))</f>
        <v/>
      </c>
      <c r="AL12" s="14" t="str">
        <f t="shared" si="1"/>
        <v/>
      </c>
    </row>
    <row r="13" spans="1:38" x14ac:dyDescent="0.3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20"/>
      <c r="AG13" s="20"/>
      <c r="AH13" s="20"/>
      <c r="AI13" s="14" t="str">
        <f t="shared" si="0"/>
        <v/>
      </c>
      <c r="AJ13" s="21" t="str">
        <f>IF(AI13="","",AI13/Clave!$G$19)</f>
        <v/>
      </c>
      <c r="AK13" s="14" t="str">
        <f>IF($A13="","",IFERROR(INDEX('Respuestas PRE'!$Z$7:$Z$66,MATCH($A13,'Respuestas PRE'!$A$7:$A$66,0)),""))</f>
        <v/>
      </c>
      <c r="AL13" s="14" t="str">
        <f t="shared" si="1"/>
        <v/>
      </c>
    </row>
    <row r="14" spans="1:38" x14ac:dyDescent="0.3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20"/>
      <c r="AG14" s="20"/>
      <c r="AH14" s="20"/>
      <c r="AI14" s="14" t="str">
        <f t="shared" si="0"/>
        <v/>
      </c>
      <c r="AJ14" s="21" t="str">
        <f>IF(AI14="","",AI14/Clave!$G$19)</f>
        <v/>
      </c>
      <c r="AK14" s="14" t="str">
        <f>IF($A14="","",IFERROR(INDEX('Respuestas PRE'!$Z$7:$Z$66,MATCH($A14,'Respuestas PRE'!$A$7:$A$66,0)),""))</f>
        <v/>
      </c>
      <c r="AL14" s="14" t="str">
        <f t="shared" si="1"/>
        <v/>
      </c>
    </row>
    <row r="15" spans="1:38" x14ac:dyDescent="0.3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20"/>
      <c r="AG15" s="20"/>
      <c r="AH15" s="20"/>
      <c r="AI15" s="14" t="str">
        <f t="shared" si="0"/>
        <v/>
      </c>
      <c r="AJ15" s="21" t="str">
        <f>IF(AI15="","",AI15/Clave!$G$19)</f>
        <v/>
      </c>
      <c r="AK15" s="14" t="str">
        <f>IF($A15="","",IFERROR(INDEX('Respuestas PRE'!$Z$7:$Z$66,MATCH($A15,'Respuestas PRE'!$A$7:$A$66,0)),""))</f>
        <v/>
      </c>
      <c r="AL15" s="14" t="str">
        <f t="shared" si="1"/>
        <v/>
      </c>
    </row>
    <row r="16" spans="1:38" x14ac:dyDescent="0.3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20"/>
      <c r="AG16" s="20"/>
      <c r="AH16" s="20"/>
      <c r="AI16" s="14" t="str">
        <f t="shared" si="0"/>
        <v/>
      </c>
      <c r="AJ16" s="21" t="str">
        <f>IF(AI16="","",AI16/Clave!$G$19)</f>
        <v/>
      </c>
      <c r="AK16" s="14" t="str">
        <f>IF($A16="","",IFERROR(INDEX('Respuestas PRE'!$Z$7:$Z$66,MATCH($A16,'Respuestas PRE'!$A$7:$A$66,0)),""))</f>
        <v/>
      </c>
      <c r="AL16" s="14" t="str">
        <f t="shared" si="1"/>
        <v/>
      </c>
    </row>
    <row r="17" spans="1:38" x14ac:dyDescent="0.3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20"/>
      <c r="AG17" s="20"/>
      <c r="AH17" s="20"/>
      <c r="AI17" s="14" t="str">
        <f t="shared" si="0"/>
        <v/>
      </c>
      <c r="AJ17" s="21" t="str">
        <f>IF(AI17="","",AI17/Clave!$G$19)</f>
        <v/>
      </c>
      <c r="AK17" s="14" t="str">
        <f>IF($A17="","",IFERROR(INDEX('Respuestas PRE'!$Z$7:$Z$66,MATCH($A17,'Respuestas PRE'!$A$7:$A$66,0)),""))</f>
        <v/>
      </c>
      <c r="AL17" s="14" t="str">
        <f t="shared" si="1"/>
        <v/>
      </c>
    </row>
    <row r="18" spans="1:38" x14ac:dyDescent="0.3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20"/>
      <c r="AG18" s="20"/>
      <c r="AH18" s="20"/>
      <c r="AI18" s="14" t="str">
        <f t="shared" si="0"/>
        <v/>
      </c>
      <c r="AJ18" s="21" t="str">
        <f>IF(AI18="","",AI18/Clave!$G$19)</f>
        <v/>
      </c>
      <c r="AK18" s="14" t="str">
        <f>IF($A18="","",IFERROR(INDEX('Respuestas PRE'!$Z$7:$Z$66,MATCH($A18,'Respuestas PRE'!$A$7:$A$66,0)),""))</f>
        <v/>
      </c>
      <c r="AL18" s="14" t="str">
        <f t="shared" si="1"/>
        <v/>
      </c>
    </row>
    <row r="19" spans="1:38" x14ac:dyDescent="0.3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20"/>
      <c r="AG19" s="20"/>
      <c r="AH19" s="20"/>
      <c r="AI19" s="14" t="str">
        <f t="shared" si="0"/>
        <v/>
      </c>
      <c r="AJ19" s="21" t="str">
        <f>IF(AI19="","",AI19/Clave!$G$19)</f>
        <v/>
      </c>
      <c r="AK19" s="14" t="str">
        <f>IF($A19="","",IFERROR(INDEX('Respuestas PRE'!$Z$7:$Z$66,MATCH($A19,'Respuestas PRE'!$A$7:$A$66,0)),""))</f>
        <v/>
      </c>
      <c r="AL19" s="14" t="str">
        <f t="shared" si="1"/>
        <v/>
      </c>
    </row>
    <row r="20" spans="1:38" x14ac:dyDescent="0.3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20"/>
      <c r="AG20" s="20"/>
      <c r="AH20" s="20"/>
      <c r="AI20" s="14" t="str">
        <f t="shared" si="0"/>
        <v/>
      </c>
      <c r="AJ20" s="21" t="str">
        <f>IF(AI20="","",AI20/Clave!$G$19)</f>
        <v/>
      </c>
      <c r="AK20" s="14" t="str">
        <f>IF($A20="","",IFERROR(INDEX('Respuestas PRE'!$Z$7:$Z$66,MATCH($A20,'Respuestas PRE'!$A$7:$A$66,0)),""))</f>
        <v/>
      </c>
      <c r="AL20" s="14" t="str">
        <f t="shared" si="1"/>
        <v/>
      </c>
    </row>
    <row r="21" spans="1:38" x14ac:dyDescent="0.3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20"/>
      <c r="AG21" s="20"/>
      <c r="AH21" s="20"/>
      <c r="AI21" s="14" t="str">
        <f t="shared" si="0"/>
        <v/>
      </c>
      <c r="AJ21" s="21" t="str">
        <f>IF(AI21="","",AI21/Clave!$G$19)</f>
        <v/>
      </c>
      <c r="AK21" s="14" t="str">
        <f>IF($A21="","",IFERROR(INDEX('Respuestas PRE'!$Z$7:$Z$66,MATCH($A21,'Respuestas PRE'!$A$7:$A$66,0)),""))</f>
        <v/>
      </c>
      <c r="AL21" s="14" t="str">
        <f t="shared" si="1"/>
        <v/>
      </c>
    </row>
    <row r="22" spans="1:38" x14ac:dyDescent="0.3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20"/>
      <c r="AG22" s="20"/>
      <c r="AH22" s="20"/>
      <c r="AI22" s="14" t="str">
        <f t="shared" si="0"/>
        <v/>
      </c>
      <c r="AJ22" s="21" t="str">
        <f>IF(AI22="","",AI22/Clave!$G$19)</f>
        <v/>
      </c>
      <c r="AK22" s="14" t="str">
        <f>IF($A22="","",IFERROR(INDEX('Respuestas PRE'!$Z$7:$Z$66,MATCH($A22,'Respuestas PRE'!$A$7:$A$66,0)),""))</f>
        <v/>
      </c>
      <c r="AL22" s="14" t="str">
        <f t="shared" si="1"/>
        <v/>
      </c>
    </row>
    <row r="23" spans="1:38" x14ac:dyDescent="0.3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20"/>
      <c r="AG23" s="20"/>
      <c r="AH23" s="20"/>
      <c r="AI23" s="14" t="str">
        <f t="shared" si="0"/>
        <v/>
      </c>
      <c r="AJ23" s="21" t="str">
        <f>IF(AI23="","",AI23/Clave!$G$19)</f>
        <v/>
      </c>
      <c r="AK23" s="14" t="str">
        <f>IF($A23="","",IFERROR(INDEX('Respuestas PRE'!$Z$7:$Z$66,MATCH($A23,'Respuestas PRE'!$A$7:$A$66,0)),""))</f>
        <v/>
      </c>
      <c r="AL23" s="14" t="str">
        <f t="shared" si="1"/>
        <v/>
      </c>
    </row>
    <row r="24" spans="1:38" x14ac:dyDescent="0.3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20"/>
      <c r="AG24" s="20"/>
      <c r="AH24" s="20"/>
      <c r="AI24" s="14" t="str">
        <f t="shared" si="0"/>
        <v/>
      </c>
      <c r="AJ24" s="21" t="str">
        <f>IF(AI24="","",AI24/Clave!$G$19)</f>
        <v/>
      </c>
      <c r="AK24" s="14" t="str">
        <f>IF($A24="","",IFERROR(INDEX('Respuestas PRE'!$Z$7:$Z$66,MATCH($A24,'Respuestas PRE'!$A$7:$A$66,0)),""))</f>
        <v/>
      </c>
      <c r="AL24" s="14" t="str">
        <f t="shared" si="1"/>
        <v/>
      </c>
    </row>
    <row r="25" spans="1:38" x14ac:dyDescent="0.3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20"/>
      <c r="AG25" s="20"/>
      <c r="AH25" s="20"/>
      <c r="AI25" s="14" t="str">
        <f t="shared" si="0"/>
        <v/>
      </c>
      <c r="AJ25" s="21" t="str">
        <f>IF(AI25="","",AI25/Clave!$G$19)</f>
        <v/>
      </c>
      <c r="AK25" s="14" t="str">
        <f>IF($A25="","",IFERROR(INDEX('Respuestas PRE'!$Z$7:$Z$66,MATCH($A25,'Respuestas PRE'!$A$7:$A$66,0)),""))</f>
        <v/>
      </c>
      <c r="AL25" s="14" t="str">
        <f t="shared" si="1"/>
        <v/>
      </c>
    </row>
    <row r="26" spans="1:38" x14ac:dyDescent="0.3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20"/>
      <c r="AG26" s="20"/>
      <c r="AH26" s="20"/>
      <c r="AI26" s="14" t="str">
        <f t="shared" si="0"/>
        <v/>
      </c>
      <c r="AJ26" s="21" t="str">
        <f>IF(AI26="","",AI26/Clave!$G$19)</f>
        <v/>
      </c>
      <c r="AK26" s="14" t="str">
        <f>IF($A26="","",IFERROR(INDEX('Respuestas PRE'!$Z$7:$Z$66,MATCH($A26,'Respuestas PRE'!$A$7:$A$66,0)),""))</f>
        <v/>
      </c>
      <c r="AL26" s="14" t="str">
        <f t="shared" si="1"/>
        <v/>
      </c>
    </row>
    <row r="27" spans="1:38" x14ac:dyDescent="0.3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20"/>
      <c r="AG27" s="20"/>
      <c r="AH27" s="20"/>
      <c r="AI27" s="14" t="str">
        <f t="shared" si="0"/>
        <v/>
      </c>
      <c r="AJ27" s="21" t="str">
        <f>IF(AI27="","",AI27/Clave!$G$19)</f>
        <v/>
      </c>
      <c r="AK27" s="14" t="str">
        <f>IF($A27="","",IFERROR(INDEX('Respuestas PRE'!$Z$7:$Z$66,MATCH($A27,'Respuestas PRE'!$A$7:$A$66,0)),""))</f>
        <v/>
      </c>
      <c r="AL27" s="14" t="str">
        <f t="shared" si="1"/>
        <v/>
      </c>
    </row>
    <row r="28" spans="1:38" x14ac:dyDescent="0.3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20"/>
      <c r="AG28" s="20"/>
      <c r="AH28" s="20"/>
      <c r="AI28" s="14" t="str">
        <f t="shared" si="0"/>
        <v/>
      </c>
      <c r="AJ28" s="21" t="str">
        <f>IF(AI28="","",AI28/Clave!$G$19)</f>
        <v/>
      </c>
      <c r="AK28" s="14" t="str">
        <f>IF($A28="","",IFERROR(INDEX('Respuestas PRE'!$Z$7:$Z$66,MATCH($A28,'Respuestas PRE'!$A$7:$A$66,0)),""))</f>
        <v/>
      </c>
      <c r="AL28" s="14" t="str">
        <f t="shared" si="1"/>
        <v/>
      </c>
    </row>
    <row r="29" spans="1:38" x14ac:dyDescent="0.3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20"/>
      <c r="AG29" s="20"/>
      <c r="AH29" s="20"/>
      <c r="AI29" s="14" t="str">
        <f t="shared" si="0"/>
        <v/>
      </c>
      <c r="AJ29" s="21" t="str">
        <f>IF(AI29="","",AI29/Clave!$G$19)</f>
        <v/>
      </c>
      <c r="AK29" s="14" t="str">
        <f>IF($A29="","",IFERROR(INDEX('Respuestas PRE'!$Z$7:$Z$66,MATCH($A29,'Respuestas PRE'!$A$7:$A$66,0)),""))</f>
        <v/>
      </c>
      <c r="AL29" s="14" t="str">
        <f t="shared" si="1"/>
        <v/>
      </c>
    </row>
    <row r="30" spans="1:38" x14ac:dyDescent="0.3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20"/>
      <c r="AG30" s="20"/>
      <c r="AH30" s="20"/>
      <c r="AI30" s="14" t="str">
        <f t="shared" si="0"/>
        <v/>
      </c>
      <c r="AJ30" s="21" t="str">
        <f>IF(AI30="","",AI30/Clave!$G$19)</f>
        <v/>
      </c>
      <c r="AK30" s="14" t="str">
        <f>IF($A30="","",IFERROR(INDEX('Respuestas PRE'!$Z$7:$Z$66,MATCH($A30,'Respuestas PRE'!$A$7:$A$66,0)),""))</f>
        <v/>
      </c>
      <c r="AL30" s="14" t="str">
        <f t="shared" si="1"/>
        <v/>
      </c>
    </row>
    <row r="31" spans="1:38" x14ac:dyDescent="0.3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20"/>
      <c r="AG31" s="20"/>
      <c r="AH31" s="20"/>
      <c r="AI31" s="14" t="str">
        <f t="shared" si="0"/>
        <v/>
      </c>
      <c r="AJ31" s="21" t="str">
        <f>IF(AI31="","",AI31/Clave!$G$19)</f>
        <v/>
      </c>
      <c r="AK31" s="14" t="str">
        <f>IF($A31="","",IFERROR(INDEX('Respuestas PRE'!$Z$7:$Z$66,MATCH($A31,'Respuestas PRE'!$A$7:$A$66,0)),""))</f>
        <v/>
      </c>
      <c r="AL31" s="14" t="str">
        <f t="shared" si="1"/>
        <v/>
      </c>
    </row>
    <row r="32" spans="1:38" x14ac:dyDescent="0.3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20"/>
      <c r="AG32" s="20"/>
      <c r="AH32" s="20"/>
      <c r="AI32" s="14" t="str">
        <f t="shared" si="0"/>
        <v/>
      </c>
      <c r="AJ32" s="21" t="str">
        <f>IF(AI32="","",AI32/Clave!$G$19)</f>
        <v/>
      </c>
      <c r="AK32" s="14" t="str">
        <f>IF($A32="","",IFERROR(INDEX('Respuestas PRE'!$Z$7:$Z$66,MATCH($A32,'Respuestas PRE'!$A$7:$A$66,0)),""))</f>
        <v/>
      </c>
      <c r="AL32" s="14" t="str">
        <f t="shared" si="1"/>
        <v/>
      </c>
    </row>
    <row r="33" spans="1:38" x14ac:dyDescent="0.3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20"/>
      <c r="AG33" s="20"/>
      <c r="AH33" s="20"/>
      <c r="AI33" s="14" t="str">
        <f t="shared" si="0"/>
        <v/>
      </c>
      <c r="AJ33" s="21" t="str">
        <f>IF(AI33="","",AI33/Clave!$G$19)</f>
        <v/>
      </c>
      <c r="AK33" s="14" t="str">
        <f>IF($A33="","",IFERROR(INDEX('Respuestas PRE'!$Z$7:$Z$66,MATCH($A33,'Respuestas PRE'!$A$7:$A$66,0)),""))</f>
        <v/>
      </c>
      <c r="AL33" s="14" t="str">
        <f t="shared" si="1"/>
        <v/>
      </c>
    </row>
    <row r="34" spans="1:38" x14ac:dyDescent="0.3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20"/>
      <c r="AG34" s="20"/>
      <c r="AH34" s="20"/>
      <c r="AI34" s="14" t="str">
        <f t="shared" si="0"/>
        <v/>
      </c>
      <c r="AJ34" s="21" t="str">
        <f>IF(AI34="","",AI34/Clave!$G$19)</f>
        <v/>
      </c>
      <c r="AK34" s="14" t="str">
        <f>IF($A34="","",IFERROR(INDEX('Respuestas PRE'!$Z$7:$Z$66,MATCH($A34,'Respuestas PRE'!$A$7:$A$66,0)),""))</f>
        <v/>
      </c>
      <c r="AL34" s="14" t="str">
        <f t="shared" si="1"/>
        <v/>
      </c>
    </row>
    <row r="35" spans="1:38" x14ac:dyDescent="0.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20"/>
      <c r="AG35" s="20"/>
      <c r="AH35" s="20"/>
      <c r="AI35" s="14" t="str">
        <f t="shared" si="0"/>
        <v/>
      </c>
      <c r="AJ35" s="21" t="str">
        <f>IF(AI35="","",AI35/Clave!$G$19)</f>
        <v/>
      </c>
      <c r="AK35" s="14" t="str">
        <f>IF($A35="","",IFERROR(INDEX('Respuestas PRE'!$Z$7:$Z$66,MATCH($A35,'Respuestas PRE'!$A$7:$A$66,0)),""))</f>
        <v/>
      </c>
      <c r="AL35" s="14" t="str">
        <f t="shared" si="1"/>
        <v/>
      </c>
    </row>
    <row r="36" spans="1:38" x14ac:dyDescent="0.3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20"/>
      <c r="AG36" s="20"/>
      <c r="AH36" s="20"/>
      <c r="AI36" s="14" t="str">
        <f t="shared" si="0"/>
        <v/>
      </c>
      <c r="AJ36" s="21" t="str">
        <f>IF(AI36="","",AI36/Clave!$G$19)</f>
        <v/>
      </c>
      <c r="AK36" s="14" t="str">
        <f>IF($A36="","",IFERROR(INDEX('Respuestas PRE'!$Z$7:$Z$66,MATCH($A36,'Respuestas PRE'!$A$7:$A$66,0)),""))</f>
        <v/>
      </c>
      <c r="AL36" s="14" t="str">
        <f t="shared" si="1"/>
        <v/>
      </c>
    </row>
    <row r="37" spans="1:38" x14ac:dyDescent="0.3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20"/>
      <c r="AG37" s="20"/>
      <c r="AH37" s="20"/>
      <c r="AI37" s="14" t="str">
        <f t="shared" si="0"/>
        <v/>
      </c>
      <c r="AJ37" s="21" t="str">
        <f>IF(AI37="","",AI37/Clave!$G$19)</f>
        <v/>
      </c>
      <c r="AK37" s="14" t="str">
        <f>IF($A37="","",IFERROR(INDEX('Respuestas PRE'!$Z$7:$Z$66,MATCH($A37,'Respuestas PRE'!$A$7:$A$66,0)),""))</f>
        <v/>
      </c>
      <c r="AL37" s="14" t="str">
        <f t="shared" si="1"/>
        <v/>
      </c>
    </row>
    <row r="38" spans="1:38" x14ac:dyDescent="0.3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20"/>
      <c r="AG38" s="20"/>
      <c r="AH38" s="20"/>
      <c r="AI38" s="14" t="str">
        <f t="shared" ref="AI38:AI66" si="2">IF($A38="","",SUMPRODUCT((J38:U38=J$3:U$3)*(J$4:U$4="Sí")))</f>
        <v/>
      </c>
      <c r="AJ38" s="21" t="str">
        <f>IF(AI38="","",AI38/Clave!$G$19)</f>
        <v/>
      </c>
      <c r="AK38" s="14" t="str">
        <f>IF($A38="","",IFERROR(INDEX('Respuestas PRE'!$Z$7:$Z$66,MATCH($A38,'Respuestas PRE'!$A$7:$A$66,0)),""))</f>
        <v/>
      </c>
      <c r="AL38" s="14" t="str">
        <f t="shared" ref="AL38:AL69" si="3">IF(OR(AI38="",AK38=""),"",AI38-AK38)</f>
        <v/>
      </c>
    </row>
    <row r="39" spans="1:38" x14ac:dyDescent="0.3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20"/>
      <c r="AG39" s="20"/>
      <c r="AH39" s="20"/>
      <c r="AI39" s="14" t="str">
        <f t="shared" si="2"/>
        <v/>
      </c>
      <c r="AJ39" s="21" t="str">
        <f>IF(AI39="","",AI39/Clave!$G$19)</f>
        <v/>
      </c>
      <c r="AK39" s="14" t="str">
        <f>IF($A39="","",IFERROR(INDEX('Respuestas PRE'!$Z$7:$Z$66,MATCH($A39,'Respuestas PRE'!$A$7:$A$66,0)),""))</f>
        <v/>
      </c>
      <c r="AL39" s="14" t="str">
        <f t="shared" si="3"/>
        <v/>
      </c>
    </row>
    <row r="40" spans="1:38" x14ac:dyDescent="0.3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20"/>
      <c r="AG40" s="20"/>
      <c r="AH40" s="20"/>
      <c r="AI40" s="14" t="str">
        <f t="shared" si="2"/>
        <v/>
      </c>
      <c r="AJ40" s="21" t="str">
        <f>IF(AI40="","",AI40/Clave!$G$19)</f>
        <v/>
      </c>
      <c r="AK40" s="14" t="str">
        <f>IF($A40="","",IFERROR(INDEX('Respuestas PRE'!$Z$7:$Z$66,MATCH($A40,'Respuestas PRE'!$A$7:$A$66,0)),""))</f>
        <v/>
      </c>
      <c r="AL40" s="14" t="str">
        <f t="shared" si="3"/>
        <v/>
      </c>
    </row>
    <row r="41" spans="1:38" x14ac:dyDescent="0.3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20"/>
      <c r="AG41" s="20"/>
      <c r="AH41" s="20"/>
      <c r="AI41" s="14" t="str">
        <f t="shared" si="2"/>
        <v/>
      </c>
      <c r="AJ41" s="21" t="str">
        <f>IF(AI41="","",AI41/Clave!$G$19)</f>
        <v/>
      </c>
      <c r="AK41" s="14" t="str">
        <f>IF($A41="","",IFERROR(INDEX('Respuestas PRE'!$Z$7:$Z$66,MATCH($A41,'Respuestas PRE'!$A$7:$A$66,0)),""))</f>
        <v/>
      </c>
      <c r="AL41" s="14" t="str">
        <f t="shared" si="3"/>
        <v/>
      </c>
    </row>
    <row r="42" spans="1:38" x14ac:dyDescent="0.3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20"/>
      <c r="AG42" s="20"/>
      <c r="AH42" s="20"/>
      <c r="AI42" s="14" t="str">
        <f t="shared" si="2"/>
        <v/>
      </c>
      <c r="AJ42" s="21" t="str">
        <f>IF(AI42="","",AI42/Clave!$G$19)</f>
        <v/>
      </c>
      <c r="AK42" s="14" t="str">
        <f>IF($A42="","",IFERROR(INDEX('Respuestas PRE'!$Z$7:$Z$66,MATCH($A42,'Respuestas PRE'!$A$7:$A$66,0)),""))</f>
        <v/>
      </c>
      <c r="AL42" s="14" t="str">
        <f t="shared" si="3"/>
        <v/>
      </c>
    </row>
    <row r="43" spans="1:38" x14ac:dyDescent="0.3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20"/>
      <c r="AG43" s="20"/>
      <c r="AH43" s="20"/>
      <c r="AI43" s="14" t="str">
        <f t="shared" si="2"/>
        <v/>
      </c>
      <c r="AJ43" s="21" t="str">
        <f>IF(AI43="","",AI43/Clave!$G$19)</f>
        <v/>
      </c>
      <c r="AK43" s="14" t="str">
        <f>IF($A43="","",IFERROR(INDEX('Respuestas PRE'!$Z$7:$Z$66,MATCH($A43,'Respuestas PRE'!$A$7:$A$66,0)),""))</f>
        <v/>
      </c>
      <c r="AL43" s="14" t="str">
        <f t="shared" si="3"/>
        <v/>
      </c>
    </row>
    <row r="44" spans="1:38" x14ac:dyDescent="0.3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20"/>
      <c r="AG44" s="20"/>
      <c r="AH44" s="20"/>
      <c r="AI44" s="14" t="str">
        <f t="shared" si="2"/>
        <v/>
      </c>
      <c r="AJ44" s="21" t="str">
        <f>IF(AI44="","",AI44/Clave!$G$19)</f>
        <v/>
      </c>
      <c r="AK44" s="14" t="str">
        <f>IF($A44="","",IFERROR(INDEX('Respuestas PRE'!$Z$7:$Z$66,MATCH($A44,'Respuestas PRE'!$A$7:$A$66,0)),""))</f>
        <v/>
      </c>
      <c r="AL44" s="14" t="str">
        <f t="shared" si="3"/>
        <v/>
      </c>
    </row>
    <row r="45" spans="1:38" x14ac:dyDescent="0.3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20"/>
      <c r="AG45" s="20"/>
      <c r="AH45" s="20"/>
      <c r="AI45" s="14" t="str">
        <f t="shared" si="2"/>
        <v/>
      </c>
      <c r="AJ45" s="21" t="str">
        <f>IF(AI45="","",AI45/Clave!$G$19)</f>
        <v/>
      </c>
      <c r="AK45" s="14" t="str">
        <f>IF($A45="","",IFERROR(INDEX('Respuestas PRE'!$Z$7:$Z$66,MATCH($A45,'Respuestas PRE'!$A$7:$A$66,0)),""))</f>
        <v/>
      </c>
      <c r="AL45" s="14" t="str">
        <f t="shared" si="3"/>
        <v/>
      </c>
    </row>
    <row r="46" spans="1:38" x14ac:dyDescent="0.3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20"/>
      <c r="AG46" s="20"/>
      <c r="AH46" s="20"/>
      <c r="AI46" s="14" t="str">
        <f t="shared" si="2"/>
        <v/>
      </c>
      <c r="AJ46" s="21" t="str">
        <f>IF(AI46="","",AI46/Clave!$G$19)</f>
        <v/>
      </c>
      <c r="AK46" s="14" t="str">
        <f>IF($A46="","",IFERROR(INDEX('Respuestas PRE'!$Z$7:$Z$66,MATCH($A46,'Respuestas PRE'!$A$7:$A$66,0)),""))</f>
        <v/>
      </c>
      <c r="AL46" s="14" t="str">
        <f t="shared" si="3"/>
        <v/>
      </c>
    </row>
    <row r="47" spans="1:38" x14ac:dyDescent="0.3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20"/>
      <c r="AG47" s="20"/>
      <c r="AH47" s="20"/>
      <c r="AI47" s="14" t="str">
        <f t="shared" si="2"/>
        <v/>
      </c>
      <c r="AJ47" s="21" t="str">
        <f>IF(AI47="","",AI47/Clave!$G$19)</f>
        <v/>
      </c>
      <c r="AK47" s="14" t="str">
        <f>IF($A47="","",IFERROR(INDEX('Respuestas PRE'!$Z$7:$Z$66,MATCH($A47,'Respuestas PRE'!$A$7:$A$66,0)),""))</f>
        <v/>
      </c>
      <c r="AL47" s="14" t="str">
        <f t="shared" si="3"/>
        <v/>
      </c>
    </row>
    <row r="48" spans="1:38" x14ac:dyDescent="0.3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20"/>
      <c r="AG48" s="20"/>
      <c r="AH48" s="20"/>
      <c r="AI48" s="14" t="str">
        <f t="shared" si="2"/>
        <v/>
      </c>
      <c r="AJ48" s="21" t="str">
        <f>IF(AI48="","",AI48/Clave!$G$19)</f>
        <v/>
      </c>
      <c r="AK48" s="14" t="str">
        <f>IF($A48="","",IFERROR(INDEX('Respuestas PRE'!$Z$7:$Z$66,MATCH($A48,'Respuestas PRE'!$A$7:$A$66,0)),""))</f>
        <v/>
      </c>
      <c r="AL48" s="14" t="str">
        <f t="shared" si="3"/>
        <v/>
      </c>
    </row>
    <row r="49" spans="1:38" x14ac:dyDescent="0.3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20"/>
      <c r="AG49" s="20"/>
      <c r="AH49" s="20"/>
      <c r="AI49" s="14" t="str">
        <f t="shared" si="2"/>
        <v/>
      </c>
      <c r="AJ49" s="21" t="str">
        <f>IF(AI49="","",AI49/Clave!$G$19)</f>
        <v/>
      </c>
      <c r="AK49" s="14" t="str">
        <f>IF($A49="","",IFERROR(INDEX('Respuestas PRE'!$Z$7:$Z$66,MATCH($A49,'Respuestas PRE'!$A$7:$A$66,0)),""))</f>
        <v/>
      </c>
      <c r="AL49" s="14" t="str">
        <f t="shared" si="3"/>
        <v/>
      </c>
    </row>
    <row r="50" spans="1:38" x14ac:dyDescent="0.3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20"/>
      <c r="AG50" s="20"/>
      <c r="AH50" s="20"/>
      <c r="AI50" s="14" t="str">
        <f t="shared" si="2"/>
        <v/>
      </c>
      <c r="AJ50" s="21" t="str">
        <f>IF(AI50="","",AI50/Clave!$G$19)</f>
        <v/>
      </c>
      <c r="AK50" s="14" t="str">
        <f>IF($A50="","",IFERROR(INDEX('Respuestas PRE'!$Z$7:$Z$66,MATCH($A50,'Respuestas PRE'!$A$7:$A$66,0)),""))</f>
        <v/>
      </c>
      <c r="AL50" s="14" t="str">
        <f t="shared" si="3"/>
        <v/>
      </c>
    </row>
    <row r="51" spans="1:38" x14ac:dyDescent="0.3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20"/>
      <c r="AG51" s="20"/>
      <c r="AH51" s="20"/>
      <c r="AI51" s="14" t="str">
        <f t="shared" si="2"/>
        <v/>
      </c>
      <c r="AJ51" s="21" t="str">
        <f>IF(AI51="","",AI51/Clave!$G$19)</f>
        <v/>
      </c>
      <c r="AK51" s="14" t="str">
        <f>IF($A51="","",IFERROR(INDEX('Respuestas PRE'!$Z$7:$Z$66,MATCH($A51,'Respuestas PRE'!$A$7:$A$66,0)),""))</f>
        <v/>
      </c>
      <c r="AL51" s="14" t="str">
        <f t="shared" si="3"/>
        <v/>
      </c>
    </row>
    <row r="52" spans="1:38" x14ac:dyDescent="0.3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20"/>
      <c r="AG52" s="20"/>
      <c r="AH52" s="20"/>
      <c r="AI52" s="14" t="str">
        <f t="shared" si="2"/>
        <v/>
      </c>
      <c r="AJ52" s="21" t="str">
        <f>IF(AI52="","",AI52/Clave!$G$19)</f>
        <v/>
      </c>
      <c r="AK52" s="14" t="str">
        <f>IF($A52="","",IFERROR(INDEX('Respuestas PRE'!$Z$7:$Z$66,MATCH($A52,'Respuestas PRE'!$A$7:$A$66,0)),""))</f>
        <v/>
      </c>
      <c r="AL52" s="14" t="str">
        <f t="shared" si="3"/>
        <v/>
      </c>
    </row>
    <row r="53" spans="1:38" x14ac:dyDescent="0.3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20"/>
      <c r="AG53" s="20"/>
      <c r="AH53" s="20"/>
      <c r="AI53" s="14" t="str">
        <f t="shared" si="2"/>
        <v/>
      </c>
      <c r="AJ53" s="21" t="str">
        <f>IF(AI53="","",AI53/Clave!$G$19)</f>
        <v/>
      </c>
      <c r="AK53" s="14" t="str">
        <f>IF($A53="","",IFERROR(INDEX('Respuestas PRE'!$Z$7:$Z$66,MATCH($A53,'Respuestas PRE'!$A$7:$A$66,0)),""))</f>
        <v/>
      </c>
      <c r="AL53" s="14" t="str">
        <f t="shared" si="3"/>
        <v/>
      </c>
    </row>
    <row r="54" spans="1:38" x14ac:dyDescent="0.3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20"/>
      <c r="AG54" s="20"/>
      <c r="AH54" s="20"/>
      <c r="AI54" s="14" t="str">
        <f t="shared" si="2"/>
        <v/>
      </c>
      <c r="AJ54" s="21" t="str">
        <f>IF(AI54="","",AI54/Clave!$G$19)</f>
        <v/>
      </c>
      <c r="AK54" s="14" t="str">
        <f>IF($A54="","",IFERROR(INDEX('Respuestas PRE'!$Z$7:$Z$66,MATCH($A54,'Respuestas PRE'!$A$7:$A$66,0)),""))</f>
        <v/>
      </c>
      <c r="AL54" s="14" t="str">
        <f t="shared" si="3"/>
        <v/>
      </c>
    </row>
    <row r="55" spans="1:38" x14ac:dyDescent="0.3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20"/>
      <c r="AG55" s="20"/>
      <c r="AH55" s="20"/>
      <c r="AI55" s="14" t="str">
        <f t="shared" si="2"/>
        <v/>
      </c>
      <c r="AJ55" s="21" t="str">
        <f>IF(AI55="","",AI55/Clave!$G$19)</f>
        <v/>
      </c>
      <c r="AK55" s="14" t="str">
        <f>IF($A55="","",IFERROR(INDEX('Respuestas PRE'!$Z$7:$Z$66,MATCH($A55,'Respuestas PRE'!$A$7:$A$66,0)),""))</f>
        <v/>
      </c>
      <c r="AL55" s="14" t="str">
        <f t="shared" si="3"/>
        <v/>
      </c>
    </row>
    <row r="56" spans="1:38" x14ac:dyDescent="0.3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20"/>
      <c r="AG56" s="20"/>
      <c r="AH56" s="20"/>
      <c r="AI56" s="14" t="str">
        <f t="shared" si="2"/>
        <v/>
      </c>
      <c r="AJ56" s="21" t="str">
        <f>IF(AI56="","",AI56/Clave!$G$19)</f>
        <v/>
      </c>
      <c r="AK56" s="14" t="str">
        <f>IF($A56="","",IFERROR(INDEX('Respuestas PRE'!$Z$7:$Z$66,MATCH($A56,'Respuestas PRE'!$A$7:$A$66,0)),""))</f>
        <v/>
      </c>
      <c r="AL56" s="14" t="str">
        <f t="shared" si="3"/>
        <v/>
      </c>
    </row>
    <row r="57" spans="1:38" x14ac:dyDescent="0.3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20"/>
      <c r="AG57" s="20"/>
      <c r="AH57" s="20"/>
      <c r="AI57" s="14" t="str">
        <f t="shared" si="2"/>
        <v/>
      </c>
      <c r="AJ57" s="21" t="str">
        <f>IF(AI57="","",AI57/Clave!$G$19)</f>
        <v/>
      </c>
      <c r="AK57" s="14" t="str">
        <f>IF($A57="","",IFERROR(INDEX('Respuestas PRE'!$Z$7:$Z$66,MATCH($A57,'Respuestas PRE'!$A$7:$A$66,0)),""))</f>
        <v/>
      </c>
      <c r="AL57" s="14" t="str">
        <f t="shared" si="3"/>
        <v/>
      </c>
    </row>
    <row r="58" spans="1:38" x14ac:dyDescent="0.3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20"/>
      <c r="AG58" s="20"/>
      <c r="AH58" s="20"/>
      <c r="AI58" s="14" t="str">
        <f t="shared" si="2"/>
        <v/>
      </c>
      <c r="AJ58" s="21" t="str">
        <f>IF(AI58="","",AI58/Clave!$G$19)</f>
        <v/>
      </c>
      <c r="AK58" s="14" t="str">
        <f>IF($A58="","",IFERROR(INDEX('Respuestas PRE'!$Z$7:$Z$66,MATCH($A58,'Respuestas PRE'!$A$7:$A$66,0)),""))</f>
        <v/>
      </c>
      <c r="AL58" s="14" t="str">
        <f t="shared" si="3"/>
        <v/>
      </c>
    </row>
    <row r="59" spans="1:38" x14ac:dyDescent="0.3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20"/>
      <c r="AG59" s="20"/>
      <c r="AH59" s="20"/>
      <c r="AI59" s="14" t="str">
        <f t="shared" si="2"/>
        <v/>
      </c>
      <c r="AJ59" s="21" t="str">
        <f>IF(AI59="","",AI59/Clave!$G$19)</f>
        <v/>
      </c>
      <c r="AK59" s="14" t="str">
        <f>IF($A59="","",IFERROR(INDEX('Respuestas PRE'!$Z$7:$Z$66,MATCH($A59,'Respuestas PRE'!$A$7:$A$66,0)),""))</f>
        <v/>
      </c>
      <c r="AL59" s="14" t="str">
        <f t="shared" si="3"/>
        <v/>
      </c>
    </row>
    <row r="60" spans="1:38" x14ac:dyDescent="0.3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20"/>
      <c r="AG60" s="20"/>
      <c r="AH60" s="20"/>
      <c r="AI60" s="14" t="str">
        <f t="shared" si="2"/>
        <v/>
      </c>
      <c r="AJ60" s="21" t="str">
        <f>IF(AI60="","",AI60/Clave!$G$19)</f>
        <v/>
      </c>
      <c r="AK60" s="14" t="str">
        <f>IF($A60="","",IFERROR(INDEX('Respuestas PRE'!$Z$7:$Z$66,MATCH($A60,'Respuestas PRE'!$A$7:$A$66,0)),""))</f>
        <v/>
      </c>
      <c r="AL60" s="14" t="str">
        <f t="shared" si="3"/>
        <v/>
      </c>
    </row>
    <row r="61" spans="1:38" x14ac:dyDescent="0.3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20"/>
      <c r="AG61" s="20"/>
      <c r="AH61" s="20"/>
      <c r="AI61" s="14" t="str">
        <f t="shared" si="2"/>
        <v/>
      </c>
      <c r="AJ61" s="21" t="str">
        <f>IF(AI61="","",AI61/Clave!$G$19)</f>
        <v/>
      </c>
      <c r="AK61" s="14" t="str">
        <f>IF($A61="","",IFERROR(INDEX('Respuestas PRE'!$Z$7:$Z$66,MATCH($A61,'Respuestas PRE'!$A$7:$A$66,0)),""))</f>
        <v/>
      </c>
      <c r="AL61" s="14" t="str">
        <f t="shared" si="3"/>
        <v/>
      </c>
    </row>
    <row r="62" spans="1:38" x14ac:dyDescent="0.3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20"/>
      <c r="AG62" s="20"/>
      <c r="AH62" s="20"/>
      <c r="AI62" s="14" t="str">
        <f t="shared" si="2"/>
        <v/>
      </c>
      <c r="AJ62" s="21" t="str">
        <f>IF(AI62="","",AI62/Clave!$G$19)</f>
        <v/>
      </c>
      <c r="AK62" s="14" t="str">
        <f>IF($A62="","",IFERROR(INDEX('Respuestas PRE'!$Z$7:$Z$66,MATCH($A62,'Respuestas PRE'!$A$7:$A$66,0)),""))</f>
        <v/>
      </c>
      <c r="AL62" s="14" t="str">
        <f t="shared" si="3"/>
        <v/>
      </c>
    </row>
    <row r="63" spans="1:38" x14ac:dyDescent="0.3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20"/>
      <c r="AG63" s="20"/>
      <c r="AH63" s="20"/>
      <c r="AI63" s="14" t="str">
        <f t="shared" si="2"/>
        <v/>
      </c>
      <c r="AJ63" s="21" t="str">
        <f>IF(AI63="","",AI63/Clave!$G$19)</f>
        <v/>
      </c>
      <c r="AK63" s="14" t="str">
        <f>IF($A63="","",IFERROR(INDEX('Respuestas PRE'!$Z$7:$Z$66,MATCH($A63,'Respuestas PRE'!$A$7:$A$66,0)),""))</f>
        <v/>
      </c>
      <c r="AL63" s="14" t="str">
        <f t="shared" si="3"/>
        <v/>
      </c>
    </row>
    <row r="64" spans="1:38" x14ac:dyDescent="0.3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20"/>
      <c r="AG64" s="20"/>
      <c r="AH64" s="20"/>
      <c r="AI64" s="14" t="str">
        <f t="shared" si="2"/>
        <v/>
      </c>
      <c r="AJ64" s="21" t="str">
        <f>IF(AI64="","",AI64/Clave!$G$19)</f>
        <v/>
      </c>
      <c r="AK64" s="14" t="str">
        <f>IF($A64="","",IFERROR(INDEX('Respuestas PRE'!$Z$7:$Z$66,MATCH($A64,'Respuestas PRE'!$A$7:$A$66,0)),""))</f>
        <v/>
      </c>
      <c r="AL64" s="14" t="str">
        <f t="shared" si="3"/>
        <v/>
      </c>
    </row>
    <row r="65" spans="1:38" x14ac:dyDescent="0.3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20"/>
      <c r="AG65" s="20"/>
      <c r="AH65" s="20"/>
      <c r="AI65" s="14" t="str">
        <f t="shared" si="2"/>
        <v/>
      </c>
      <c r="AJ65" s="21" t="str">
        <f>IF(AI65="","",AI65/Clave!$G$19)</f>
        <v/>
      </c>
      <c r="AK65" s="14" t="str">
        <f>IF($A65="","",IFERROR(INDEX('Respuestas PRE'!$Z$7:$Z$66,MATCH($A65,'Respuestas PRE'!$A$7:$A$66,0)),""))</f>
        <v/>
      </c>
      <c r="AL65" s="14" t="str">
        <f t="shared" si="3"/>
        <v/>
      </c>
    </row>
    <row r="66" spans="1:38" x14ac:dyDescent="0.3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20"/>
      <c r="AG66" s="20"/>
      <c r="AH66" s="20"/>
      <c r="AI66" s="14" t="str">
        <f t="shared" si="2"/>
        <v/>
      </c>
      <c r="AJ66" s="21" t="str">
        <f>IF(AI66="","",AI66/Clave!$G$19)</f>
        <v/>
      </c>
      <c r="AK66" s="14" t="str">
        <f>IF($A66="","",IFERROR(INDEX('Respuestas PRE'!$Z$7:$Z$66,MATCH($A66,'Respuestas PRE'!$A$7:$A$66,0)),""))</f>
        <v/>
      </c>
      <c r="AL66" s="14" t="str">
        <f t="shared" si="3"/>
        <v/>
      </c>
    </row>
  </sheetData>
  <conditionalFormatting sqref="J6:U66">
    <cfRule type="expression" dxfId="0" priority="1">
      <formula>AND(J6&lt;&gt;"",J6=J$3)</formula>
    </cfRule>
  </conditionalFormatting>
  <dataValidations count="2">
    <dataValidation type="whole" allowBlank="1" errorTitle="Valor no válido" error="Escribe un número entero de 1 a 5." sqref="B7 B8 B9 B10 B11 B12 B13 B14 B15 B16 B17 B18 B19 B20 B21 B22 B23 B24 B25 B26 B27 B28 B29 B30 B31 B32 B33 B34 B35 B36 B37 B38 B39 B40 B41 B42 B43 B44 B45 B46 B47 B48 B49 B50 B51 B52 B53 B54 B55 B56 B57 B58 B59 B60 B61 B62 B63 B64 B65 B66 C7 C8 C9 C10 C11 C12 C13 C14 C15 C16 C17 C18 C19 C20 C21 C22 C23 C24 C25 C26 C27 C28 C29 C30 C31 C32 C33 C34 C35 C36 C37 C38 C39 C40 C41 C42 C43 C44 C45 C46 C47 C48 C49 C50 C51 C52 C53 C54 C55 C56 C57 C58 C59 C60 C61 C62 C63 C64 C65 C66 D7 D8 D9 D10 D11 D12 D13 D14 D15 D16 D17 D18 D19 D20 D21 D22 D23 D24 D25 D26 D27 D28 D29 D30 D31 D32 D33 D34 D35 D36 D37 D38 D39 D40 D41 D42 D43 D44 D45 D46 D47 D48 D49 D50 D51 D52 D53 D54 D55 D56 D57 D58 D59 D60 D61 D62 D63 D64 D65 D66 E7 E8 E9 E10 E11 E12 E13 E14 E15 E16 E17 E18 E19 E20 E21 E22 E23 E24 E25 E26 E27 E28 E29 E30 E31 E32 E33 E34 E35 E36 E37 E38 E39 E40 E41 E42 E43 E44 E45 E46 E47 E48 E49 E50 E51 E52 E53 E54 E55 E56 E57 E58 E59 E60 E61 E62 E63 E64 E65 E66 F7 F8 F9 F10 F11 F12 F13 F14 F15 F16 F17 F18 F19 F20 F21 F22 F23 F24 F25 F26 F27 F28 F29 F30 F31 F32 F33 F34 F35 F36 F37 F38 F39 F40 F41 F42 F43 F44 F45 F46 F47 F48 F49 F50 F51 F52 F53 F54 F55 F56 F57 F58 F59 F60 F61 F62 F63 F64 F65 F66 G7 G8 G9 G10 G11 G12 G13 G14 G15 G16 G17 G18 G19 G20 G21 G22 G23 G24 G25 G26 G27 G28 G29 G30 G31 G32 G33 G34 G35 G36 G37 G38 G39 G40 G41 G42 G43 G44 G45 G46 G47 G48 G49 G50 G51 G52 G53 G54 G55 G56 G57 G58 G59 G60 G61 G62 G63 G64 G65 G66 H7 H8 H9 H10 H11 H12 H13 H14 H15 H16 H17 H18 H19 H20 H21 H22 H23 H24 H25 H26 H27 H28 H29 H30 H31 H32 H33 H34 H35 H36 H37 H38 H39 H40 H41 H42 H43 H44 H45 H46 H47 H48 H49 H50 H51 H52 H53 H54 H55 H56 H57 H58 H59 H60 H61 H62 H63 H64 H65 H66 I7 I8 I9 I10 I11 I12 I13 I14 I15 I16 I17 I18 I19 I20 I21 I22 I23 I24 I25 I26 I27 I28 I29 I30 I31 I32 I33 I34 I35 I36 I37 I38 I39 I40 I41 I42 I43 I44 I45 I46 I47 I48 I49 I50 I51 I52 I53 I54 I55 I56 I57 I58 I59 I60 I61 I62 I63 I64 I65 I66 V7 V8 V9 V10 V11 V12 V13 V14 V15 V16 V17 V18 V19 V20 V21 V22 V23 V24 V25 V26 V27 V28 V29 V30 V31 V32 V33 V34 V35 V36 V37 V38 V39 V40 V41 V42 V43 V44 V45 V46 V47 V48 V49 V50 V51 V52 V53 V54 V55 V56 V57 V58 V59 V60 V61 V62 V63 V64 V65 V66 W7 W8 W9 W10 W11 W12 W13 W14 W15 W16 W17 W18 W19 W20 W21 W22 W23 W24 W25 W26 W27 W28 W29 W30 W31 W32 W33 W34 W35 W36 W37 W38 W39 W40 W41 W42 W43 W44 W45 W46 W47 W48 W49 W50 W51 W52 W53 W54 W55 W56 W57 W58 W59 W60 W61 W62 W63 W64 W65 W66 X7 X8 X9 X10 X11 X12 X13 X14 X15 X16 X17 X18 X19 X20 X21 X22 X23 X24 X25 X26 X27 X28 X29 X30 X31 X32 X33 X34 X35 X36 X37 X38 X39 X40 X41 X42 X43 X44 X45 X46 X47 X48 X49 X50 X51 X52 X53 X54 X55 X56 X57 X58 X59 X60 X61 X62 X63 X64 X65 X66 Y7 Y8 Y9 Y10 Y11 Y12 Y13 Y14 Y15 Y16 Y17 Y18 Y19 Y20 Y21 Y22 Y23 Y24 Y25 Y26 Y27 Y28 Y29 Y30 Y31 Y32 Y33 Y34 Y35 Y36 Y37 Y38 Y39 Y40 Y41 Y42 Y43 Y44 Y45 Y46 Y47 Y48 Y49 Y50 Y51 Y52 Y53 Y54 Y55 Y56 Y57 Y58 Y59 Y60 Y61 Y62 Y63 Y64 Y65 Y66 Z7 Z8 Z9 Z10 Z11 Z12 Z13 Z14 Z15 Z16 Z17 Z18 Z19 Z20 Z21 Z22 Z23 Z24 Z25 Z26 Z27 Z28 Z29 Z30 Z31 Z32 Z33 Z34 Z35 Z36 Z37 Z38 Z39 Z40 Z41 Z42 Z43 Z44 Z45 Z46 Z47 Z48 Z49 Z50 Z51 Z52 Z53 Z54 Z55 Z56 Z57 Z58 Z59 Z60 Z61 Z62 Z63 Z64 Z65 Z6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xr:uid="{00000000-0002-0000-0500-000000000000}">
      <formula1>1</formula1>
      <formula2>5</formula2>
    </dataValidation>
    <dataValidation type="list" allowBlank="1" errorTitle="Valor no válido" error="Escribe A, B, C, D o E (E = No lo sé)." sqref="J7 J8 J9 J10 J11 J12 J13 J14 J15 J16 J17 J18 J19 J20 J21 J22 J23 J24 J25 J26 J27 J28 J29 J30 J31 J32 J33 J34 J35 J36 J37 J38 J39 J40 J41 J42 J43 J44 J45 J46 J47 J48 J49 J50 J51 J52 J53 J54 J55 J56 J57 J58 J59 J60 J61 J62 J63 J64 J65 J66 K7 K8 K9 K10 K11 K12 K13 K14 K15 K16 K17 K18 K19 K20 K21 K22 K23 K24 K25 K26 K27 K28 K29 K30 K31 K32 K33 K34 K35 K36 K37 K38 K39 K40 K41 K42 K43 K44 K45 K46 K47 K48 K49 K50 K51 K52 K53 K54 K55 K56 K57 K58 K59 K60 K61 K62 K63 K64 K65 K66 L7 L8 L9 L10 L11 L12 L13 L14 L15 L16 L17 L18 L19 L20 L21 L22 L23 L24 L25 L26 L27 L28 L29 L30 L31 L32 L33 L34 L35 L36 L37 L38 L39 L40 L41 L42 L43 L44 L45 L46 L47 L48 L49 L50 L51 L52 L53 L54 L55 L56 L57 L58 L59 L60 L61 L62 L63 L64 L65 L66 M7 M8 M9 M10 M11 M12 M13 M14 M15 M16 M17 M18 M19 M20 M21 M22 M23 M24 M25 M26 M27 M28 M29 M30 M31 M32 M33 M34 M35 M36 M37 M38 M39 M40 M41 M42 M43 M44 M45 M46 M47 M48 M49 M50 M51 M52 M53 M54 M55 M56 M57 M58 M59 M60 M61 M62 M63 M64 M65 M66 N7 N8 N9 N10 N11 N12 N13 N14 N15 N16 N17 N18 N19 N20 N21 N22 N23 N24 N25 N26 N27 N28 N29 N30 N31 N32 N33 N34 N35 N36 N37 N38 N39 N40 N41 N42 N43 N44 N45 N46 N47 N48 N49 N50 N51 N52 N53 N54 N55 N56 N57 N58 N59 N60 N61 N62 N63 N64 N65 N66 O7 O8 O9 O10 O11 O12 O13 O14 O15 O16 O17 O18 O19 O20 O21 O22 O23 O24 O25 O26 O27 O28 O29 O30 O31 O32 O33 O34 O35 O36 O37 O38 O39 O40 O41 O42 O43 O44 O45 O46 O47 O48 O49 O50 O51 O52 O53 O54 O55 O56 O57 O58 O59 O60 O61 O62 O63 O64 O65 O66 P7 P8 P9 P10 P11 P12 P13 P14 P15 P16 P17 P18 P19 P20 P21 P22 P23 P24 P25 P26 P27 P28 P29 P30 P31 P32 P33 P34 P35 P36 P37 P38 P39 P40 P41 P42 P43 P44 P45 P46 P47 P48 P49 P50 P51 P52 P53 P54 P55 P56 P57 P58 P59 P60 P61 P62 P63 P64 P65 P66 Q7 Q8 Q9 Q10 Q11 Q12 Q13 Q14 Q15 Q16 Q17 Q18 Q19 Q20 Q21 Q22 Q23 Q24 Q25 Q26 Q27 Q28 Q29 Q30 Q31 Q32 Q33 Q34 Q35 Q36 Q37 Q38 Q39 Q40 Q41 Q42 Q43 Q44 Q45 Q46 Q47 Q48 Q49 Q50 Q51 Q52 Q53 Q54 Q55 Q56 Q57 Q58 Q59 Q60 Q61 Q62 Q63 Q64 Q65 Q66 R7 R8 R9 R10 R11 R12 R13 R14 R15 R16 R17 R18 R19 R20 R21 R22 R23 R24 R25 R26 R27 R28 R29 R30 R31 R32 R33 R34 R35 R36 R37 R38 R39 R40 R41 R42 R43 R44 R45 R46 R47 R48 R49 R50 R51 R52 R53 R54 R55 R56 R57 R58 R59 R60 R61 R62 R63 R64 R65 R66 S7 S8 S9 S10 S11 S12 S13 S14 S15 S16 S17 S18 S19 S20 S21 S22 S23 S24 S25 S26 S27 S28 S29 S30 S31 S32 S33 S34 S35 S36 S37 S38 S39 S40 S41 S42 S43 S44 S45 S46 S47 S48 S49 S50 S51 S52 S53 S54 S55 S56 S57 S58 S59 S60 S61 S62 S63 S64 S65 S66 T7 T8 T9 T10 T11 T12 T13 T14 T15 T16 T17 T18 T19 T20 T21 T22 T23 T24 T25 T26 T27 T28 T29 T30 T31 T32 T33 T34 T35 T36 T37 T38 T39 T40 T41 T42 T43 T44 T45 T46 T47 T48 T49 T50 T51 T52 T53 T54 T55 T56 T57 T58 T59 T60 T61 T62 T63 T64 T65 T66 U7 U8 U9 U10 U11 U12 U13 U14 U15 U16 U17 U18 U19 U20 U21 U22 U23 U24 U25 U26 U27 U28 U29 U30 U31 U32 U33 U34 U35 U36 U37 U38 U39 U40 U41 U42 U43 U44 U45 U46 U47 U48 U49 U50 U51 U52 U53 U54 U55 U56 U57 U58 U59 U60 U61 U62 U63 U64 U65 U66" xr:uid="{00000000-0002-0000-0500-000001000000}">
      <formula1>"A,B,C,D,E"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4"/>
  <sheetViews>
    <sheetView workbookViewId="0">
      <pane ySplit="3" topLeftCell="A4" activePane="bottomLeft" state="frozen"/>
      <selection pane="bottomLeft"/>
    </sheetView>
  </sheetViews>
  <sheetFormatPr baseColWidth="10" defaultColWidth="8.7265625" defaultRowHeight="14.5" x14ac:dyDescent="0.35"/>
  <cols>
    <col min="1" max="1" width="10" customWidth="1"/>
    <col min="2" max="2" width="62" customWidth="1"/>
    <col min="3" max="9" width="13" customWidth="1"/>
  </cols>
  <sheetData>
    <row r="1" spans="1:9" x14ac:dyDescent="0.35">
      <c r="A1" s="28" t="s">
        <v>223</v>
      </c>
      <c r="B1" s="29"/>
      <c r="C1" s="29"/>
      <c r="D1" s="29"/>
      <c r="E1" s="29"/>
      <c r="F1" s="29"/>
      <c r="G1" s="29"/>
      <c r="H1" s="29"/>
      <c r="I1" s="29"/>
    </row>
    <row r="2" spans="1:9" x14ac:dyDescent="0.35">
      <c r="A2" s="31" t="s">
        <v>224</v>
      </c>
      <c r="B2" s="29"/>
      <c r="C2" s="29"/>
      <c r="D2" s="29"/>
      <c r="E2" s="29"/>
      <c r="F2" s="29"/>
      <c r="G2" s="29"/>
      <c r="H2" s="29"/>
      <c r="I2" s="29"/>
    </row>
    <row r="4" spans="1:9" ht="20" customHeight="1" x14ac:dyDescent="0.35">
      <c r="A4" s="30" t="s">
        <v>225</v>
      </c>
      <c r="B4" s="29"/>
      <c r="C4" s="29"/>
      <c r="D4" s="29"/>
      <c r="E4" s="29"/>
      <c r="F4" s="29"/>
      <c r="G4" s="29"/>
      <c r="H4" s="29"/>
      <c r="I4" s="29"/>
    </row>
    <row r="5" spans="1:9" x14ac:dyDescent="0.35">
      <c r="A5" s="36" t="s">
        <v>226</v>
      </c>
      <c r="B5" s="29"/>
      <c r="C5" s="13">
        <f>COUNTA('Respuestas PRE'!$A$7:$A$66)</f>
        <v>0</v>
      </c>
    </row>
    <row r="6" spans="1:9" x14ac:dyDescent="0.35">
      <c r="A6" s="36" t="s">
        <v>227</v>
      </c>
      <c r="B6" s="29"/>
      <c r="C6" s="13">
        <f>COUNTA('Respuestas POST'!$A$7:$A$66)</f>
        <v>0</v>
      </c>
    </row>
    <row r="7" spans="1:9" x14ac:dyDescent="0.35">
      <c r="A7" s="36" t="s">
        <v>228</v>
      </c>
      <c r="B7" s="29"/>
      <c r="C7" s="13">
        <f>COUNT('Respuestas POST'!$AK$7:$AK$66)</f>
        <v>0</v>
      </c>
    </row>
    <row r="9" spans="1:9" ht="20" customHeight="1" x14ac:dyDescent="0.35">
      <c r="A9" s="30" t="s">
        <v>229</v>
      </c>
      <c r="B9" s="29"/>
      <c r="C9" s="29"/>
      <c r="D9" s="29"/>
      <c r="E9" s="29"/>
      <c r="F9" s="29"/>
      <c r="G9" s="29"/>
      <c r="H9" s="29"/>
      <c r="I9" s="29"/>
    </row>
    <row r="10" spans="1:9" x14ac:dyDescent="0.35">
      <c r="A10" s="36" t="s">
        <v>230</v>
      </c>
      <c r="B10" s="29"/>
      <c r="C10" s="13">
        <f>Clave!$G$19</f>
        <v>12</v>
      </c>
    </row>
    <row r="11" spans="1:9" x14ac:dyDescent="0.35">
      <c r="A11" s="36" t="s">
        <v>231</v>
      </c>
      <c r="B11" s="29"/>
      <c r="C11" s="22" t="str">
        <f>IFERROR(AVERAGE('Respuestas PRE'!$Z$7:$Z$66),"")</f>
        <v/>
      </c>
    </row>
    <row r="12" spans="1:9" x14ac:dyDescent="0.35">
      <c r="A12" s="36" t="s">
        <v>232</v>
      </c>
      <c r="B12" s="29"/>
      <c r="C12" s="22" t="str">
        <f>IFERROR(AVERAGE('Respuestas POST'!$AI$7:$AI$66),"")</f>
        <v/>
      </c>
    </row>
    <row r="13" spans="1:9" x14ac:dyDescent="0.35">
      <c r="A13" s="36" t="s">
        <v>233</v>
      </c>
      <c r="B13" s="29"/>
      <c r="C13" s="23" t="str">
        <f>IF(OR(C11="",C10=0),"",C11/C10)</f>
        <v/>
      </c>
    </row>
    <row r="14" spans="1:9" x14ac:dyDescent="0.35">
      <c r="A14" s="36" t="s">
        <v>234</v>
      </c>
      <c r="B14" s="29"/>
      <c r="C14" s="23" t="str">
        <f>IF(OR(C12="",C10=0),"",C12/C10)</f>
        <v/>
      </c>
    </row>
    <row r="15" spans="1:9" x14ac:dyDescent="0.35">
      <c r="A15" s="36" t="s">
        <v>235</v>
      </c>
      <c r="B15" s="29"/>
      <c r="C15" s="22" t="str">
        <f>IF(OR(C13="",C14=""),"",(C14-C13)*100)</f>
        <v/>
      </c>
    </row>
    <row r="16" spans="1:9" x14ac:dyDescent="0.35">
      <c r="A16" s="36" t="s">
        <v>236</v>
      </c>
      <c r="B16" s="29"/>
      <c r="C16" s="24" t="str">
        <f>IF(OR(C13="",C14=""),"",IF(C13=1,"",(C14-C13)/(1-C13)))</f>
        <v/>
      </c>
    </row>
    <row r="17" spans="1:9" x14ac:dyDescent="0.35">
      <c r="A17" s="36" t="s">
        <v>237</v>
      </c>
      <c r="B17" s="29"/>
      <c r="C17" s="13" t="str">
        <f>IF(C16="","",IF(C16&gt;=0.7,"Alta",IF(C16&gt;=0.3,"Media","Baja")))</f>
        <v/>
      </c>
    </row>
    <row r="19" spans="1:9" ht="20" customHeight="1" x14ac:dyDescent="0.35">
      <c r="A19" s="30" t="s">
        <v>238</v>
      </c>
      <c r="B19" s="29"/>
      <c r="C19" s="29"/>
      <c r="D19" s="29"/>
      <c r="E19" s="29"/>
      <c r="F19" s="29"/>
      <c r="G19" s="29"/>
      <c r="H19" s="29"/>
      <c r="I19" s="29"/>
    </row>
    <row r="20" spans="1:9" x14ac:dyDescent="0.35">
      <c r="A20" s="36" t="s">
        <v>239</v>
      </c>
      <c r="B20" s="29"/>
      <c r="C20" s="22" t="str">
        <f>IFERROR(AVERAGE('Respuestas POST'!$AL$7:$AL$66),"")</f>
        <v/>
      </c>
    </row>
    <row r="21" spans="1:9" x14ac:dyDescent="0.35">
      <c r="A21" s="36" t="s">
        <v>240</v>
      </c>
      <c r="B21" s="29"/>
      <c r="C21" s="13">
        <f>COUNTIF('Respuestas POST'!$AL$7:$AL$66,"&gt;0")</f>
        <v>0</v>
      </c>
    </row>
    <row r="22" spans="1:9" x14ac:dyDescent="0.35">
      <c r="A22" s="36" t="s">
        <v>241</v>
      </c>
      <c r="B22" s="29"/>
      <c r="C22" s="13">
        <f>COUNTIF('Respuestas POST'!$AL$7:$AL$66,0)</f>
        <v>0</v>
      </c>
    </row>
    <row r="23" spans="1:9" x14ac:dyDescent="0.35">
      <c r="A23" s="36" t="s">
        <v>242</v>
      </c>
      <c r="B23" s="29"/>
      <c r="C23" s="13">
        <f>COUNTIF('Respuestas POST'!$AL$7:$AL$66,"&lt;0")</f>
        <v>0</v>
      </c>
    </row>
    <row r="25" spans="1:9" ht="20" customHeight="1" x14ac:dyDescent="0.35">
      <c r="A25" s="30" t="s">
        <v>243</v>
      </c>
      <c r="B25" s="29"/>
      <c r="C25" s="29"/>
      <c r="D25" s="29"/>
      <c r="E25" s="29"/>
      <c r="F25" s="29"/>
      <c r="G25" s="29"/>
      <c r="H25" s="29"/>
      <c r="I25" s="29"/>
    </row>
    <row r="26" spans="1:9" ht="30" customHeight="1" x14ac:dyDescent="0.35">
      <c r="A26" s="12" t="s">
        <v>168</v>
      </c>
      <c r="B26" s="12" t="s">
        <v>169</v>
      </c>
      <c r="C26" s="12" t="s">
        <v>171</v>
      </c>
      <c r="D26" s="12" t="s">
        <v>209</v>
      </c>
      <c r="E26" s="12" t="s">
        <v>244</v>
      </c>
      <c r="F26" s="12" t="s">
        <v>245</v>
      </c>
      <c r="G26" s="12" t="s">
        <v>246</v>
      </c>
      <c r="H26" s="12" t="s">
        <v>247</v>
      </c>
      <c r="I26" s="12" t="s">
        <v>248</v>
      </c>
    </row>
    <row r="27" spans="1:9" x14ac:dyDescent="0.35">
      <c r="A27" s="13" t="str">
        <f>Clave!A6</f>
        <v>C1</v>
      </c>
      <c r="B27" s="3" t="str">
        <f>Clave!B6</f>
        <v>Hipótesis nula</v>
      </c>
      <c r="C27" s="14" t="str">
        <f>Clave!D6</f>
        <v>B</v>
      </c>
      <c r="D27" s="14" t="str">
        <f>Clave!G6</f>
        <v>Sí</v>
      </c>
      <c r="E27" s="21" t="str">
        <f>IF($C$5=0,"",COUNTIF('Respuestas PRE'!$N$7:$N$66,C27)/$C$5)</f>
        <v/>
      </c>
      <c r="F27" s="21" t="str">
        <f>IF($C$6=0,"",COUNTIF('Respuestas POST'!$J$7:$J$66,C27)/$C$6)</f>
        <v/>
      </c>
      <c r="G27" s="25" t="str">
        <f t="shared" ref="G27:G38" si="0">IF(OR(E27="",F27=""),"",(F27-E27)*100)</f>
        <v/>
      </c>
      <c r="H27" s="21" t="str">
        <f>IF($C$5=0,"",COUNTIF('Respuestas PRE'!$N$7:$N$66,"E")/$C$5)</f>
        <v/>
      </c>
      <c r="I27" s="21" t="str">
        <f>IF($C$6=0,"",COUNTIF('Respuestas POST'!$J$7:$J$66,"E")/$C$6)</f>
        <v/>
      </c>
    </row>
    <row r="28" spans="1:9" x14ac:dyDescent="0.35">
      <c r="A28" s="13" t="str">
        <f>Clave!A7</f>
        <v>C2</v>
      </c>
      <c r="B28" s="3" t="str">
        <f>Clave!B7</f>
        <v>Significado del valor p</v>
      </c>
      <c r="C28" s="14" t="str">
        <f>Clave!D7</f>
        <v>C</v>
      </c>
      <c r="D28" s="14" t="str">
        <f>Clave!G7</f>
        <v>Sí</v>
      </c>
      <c r="E28" s="21" t="str">
        <f>IF($C$5=0,"",COUNTIF('Respuestas PRE'!$O$7:$O$66,C28)/$C$5)</f>
        <v/>
      </c>
      <c r="F28" s="21" t="str">
        <f>IF($C$6=0,"",COUNTIF('Respuestas POST'!$K$7:$K$66,C28)/$C$6)</f>
        <v/>
      </c>
      <c r="G28" s="25" t="str">
        <f t="shared" si="0"/>
        <v/>
      </c>
      <c r="H28" s="21" t="str">
        <f>IF($C$5=0,"",COUNTIF('Respuestas PRE'!$O$7:$O$66,"E")/$C$5)</f>
        <v/>
      </c>
      <c r="I28" s="21" t="str">
        <f>IF($C$6=0,"",COUNTIF('Respuestas POST'!$K$7:$K$66,"E")/$C$6)</f>
        <v/>
      </c>
    </row>
    <row r="29" spans="1:9" x14ac:dyDescent="0.35">
      <c r="A29" s="13" t="str">
        <f>Clave!A8</f>
        <v>C3</v>
      </c>
      <c r="B29" s="3" t="str">
        <f>Clave!B8</f>
        <v>Un p grande no demuestra igualdad</v>
      </c>
      <c r="C29" s="14" t="str">
        <f>Clave!D8</f>
        <v>D</v>
      </c>
      <c r="D29" s="14" t="str">
        <f>Clave!G8</f>
        <v>Sí</v>
      </c>
      <c r="E29" s="21" t="str">
        <f>IF($C$5=0,"",COUNTIF('Respuestas PRE'!$P$7:$P$66,C29)/$C$5)</f>
        <v/>
      </c>
      <c r="F29" s="21" t="str">
        <f>IF($C$6=0,"",COUNTIF('Respuestas POST'!$L$7:$L$66,C29)/$C$6)</f>
        <v/>
      </c>
      <c r="G29" s="25" t="str">
        <f t="shared" si="0"/>
        <v/>
      </c>
      <c r="H29" s="21" t="str">
        <f>IF($C$5=0,"",COUNTIF('Respuestas PRE'!$P$7:$P$66,"E")/$C$5)</f>
        <v/>
      </c>
      <c r="I29" s="21" t="str">
        <f>IF($C$6=0,"",COUNTIF('Respuestas POST'!$L$7:$L$66,"E")/$C$6)</f>
        <v/>
      </c>
    </row>
    <row r="30" spans="1:9" x14ac:dyDescent="0.35">
      <c r="A30" s="13" t="str">
        <f>Clave!A9</f>
        <v>C4</v>
      </c>
      <c r="B30" s="3" t="str">
        <f>Clave!B9</f>
        <v>Lógica de las permutaciones</v>
      </c>
      <c r="C30" s="14" t="str">
        <f>Clave!D9</f>
        <v>A</v>
      </c>
      <c r="D30" s="14" t="str">
        <f>Clave!G9</f>
        <v>Sí</v>
      </c>
      <c r="E30" s="21" t="str">
        <f>IF($C$5=0,"",COUNTIF('Respuestas PRE'!$Q$7:$Q$66,C30)/$C$5)</f>
        <v/>
      </c>
      <c r="F30" s="21" t="str">
        <f>IF($C$6=0,"",COUNTIF('Respuestas POST'!$M$7:$M$66,C30)/$C$6)</f>
        <v/>
      </c>
      <c r="G30" s="25" t="str">
        <f t="shared" si="0"/>
        <v/>
      </c>
      <c r="H30" s="21" t="str">
        <f>IF($C$5=0,"",COUNTIF('Respuestas PRE'!$Q$7:$Q$66,"E")/$C$5)</f>
        <v/>
      </c>
      <c r="I30" s="21" t="str">
        <f>IF($C$6=0,"",COUNTIF('Respuestas POST'!$M$7:$M$66,"E")/$C$6)</f>
        <v/>
      </c>
    </row>
    <row r="31" spans="1:9" x14ac:dyDescent="0.35">
      <c r="A31" s="13" t="str">
        <f>Clave!A10</f>
        <v>C5</v>
      </c>
      <c r="B31" s="3" t="str">
        <f>Clave!B10</f>
        <v>De qué depende el valor p</v>
      </c>
      <c r="C31" s="14" t="str">
        <f>Clave!D10</f>
        <v>B</v>
      </c>
      <c r="D31" s="14" t="str">
        <f>Clave!G10</f>
        <v>Sí</v>
      </c>
      <c r="E31" s="21" t="str">
        <f>IF($C$5=0,"",COUNTIF('Respuestas PRE'!$R$7:$R$66,C31)/$C$5)</f>
        <v/>
      </c>
      <c r="F31" s="21" t="str">
        <f>IF($C$6=0,"",COUNTIF('Respuestas POST'!$N$7:$N$66,C31)/$C$6)</f>
        <v/>
      </c>
      <c r="G31" s="25" t="str">
        <f t="shared" si="0"/>
        <v/>
      </c>
      <c r="H31" s="21" t="str">
        <f>IF($C$5=0,"",COUNTIF('Respuestas PRE'!$R$7:$R$66,"E")/$C$5)</f>
        <v/>
      </c>
      <c r="I31" s="21" t="str">
        <f>IF($C$6=0,"",COUNTIF('Respuestas POST'!$N$7:$N$66,"E")/$C$6)</f>
        <v/>
      </c>
    </row>
    <row r="32" spans="1:9" x14ac:dyDescent="0.35">
      <c r="A32" s="13" t="str">
        <f>Clave!A11</f>
        <v>C6</v>
      </c>
      <c r="B32" s="3" t="str">
        <f>Clave!B11</f>
        <v>Student frente a Welch</v>
      </c>
      <c r="C32" s="14" t="str">
        <f>Clave!D11</f>
        <v>D</v>
      </c>
      <c r="D32" s="14" t="str">
        <f>Clave!G11</f>
        <v>Sí</v>
      </c>
      <c r="E32" s="21" t="str">
        <f>IF($C$5=0,"",COUNTIF('Respuestas PRE'!$S$7:$S$66,C32)/$C$5)</f>
        <v/>
      </c>
      <c r="F32" s="21" t="str">
        <f>IF($C$6=0,"",COUNTIF('Respuestas POST'!$O$7:$O$66,C32)/$C$6)</f>
        <v/>
      </c>
      <c r="G32" s="25" t="str">
        <f t="shared" si="0"/>
        <v/>
      </c>
      <c r="H32" s="21" t="str">
        <f>IF($C$5=0,"",COUNTIF('Respuestas PRE'!$S$7:$S$66,"E")/$C$5)</f>
        <v/>
      </c>
      <c r="I32" s="21" t="str">
        <f>IF($C$6=0,"",COUNTIF('Respuestas POST'!$O$7:$O$66,"E")/$C$6)</f>
        <v/>
      </c>
    </row>
    <row r="33" spans="1:9" x14ac:dyDescent="0.35">
      <c r="A33" s="13" t="str">
        <f>Clave!A12</f>
        <v>C7</v>
      </c>
      <c r="B33" s="3" t="str">
        <f>Clave!B12</f>
        <v>Pruebas de rangos</v>
      </c>
      <c r="C33" s="14" t="str">
        <f>Clave!D12</f>
        <v>C</v>
      </c>
      <c r="D33" s="14" t="str">
        <f>Clave!G12</f>
        <v>Sí</v>
      </c>
      <c r="E33" s="21" t="str">
        <f>IF($C$5=0,"",COUNTIF('Respuestas PRE'!$T$7:$T$66,C33)/$C$5)</f>
        <v/>
      </c>
      <c r="F33" s="21" t="str">
        <f>IF($C$6=0,"",COUNTIF('Respuestas POST'!$P$7:$P$66,C33)/$C$6)</f>
        <v/>
      </c>
      <c r="G33" s="25" t="str">
        <f t="shared" si="0"/>
        <v/>
      </c>
      <c r="H33" s="21" t="str">
        <f>IF($C$5=0,"",COUNTIF('Respuestas PRE'!$T$7:$T$66,"E")/$C$5)</f>
        <v/>
      </c>
      <c r="I33" s="21" t="str">
        <f>IF($C$6=0,"",COUNTIF('Respuestas POST'!$P$7:$P$66,"E")/$C$6)</f>
        <v/>
      </c>
    </row>
    <row r="34" spans="1:9" x14ac:dyDescent="0.35">
      <c r="A34" s="13" t="str">
        <f>Clave!A13</f>
        <v>C8</v>
      </c>
      <c r="B34" s="3" t="str">
        <f>Clave!B13</f>
        <v>Datos pareados</v>
      </c>
      <c r="C34" s="14" t="str">
        <f>Clave!D13</f>
        <v>A</v>
      </c>
      <c r="D34" s="14" t="str">
        <f>Clave!G13</f>
        <v>Sí</v>
      </c>
      <c r="E34" s="21" t="str">
        <f>IF($C$5=0,"",COUNTIF('Respuestas PRE'!$U$7:$U$66,C34)/$C$5)</f>
        <v/>
      </c>
      <c r="F34" s="21" t="str">
        <f>IF($C$6=0,"",COUNTIF('Respuestas POST'!$Q$7:$Q$66,C34)/$C$6)</f>
        <v/>
      </c>
      <c r="G34" s="25" t="str">
        <f t="shared" si="0"/>
        <v/>
      </c>
      <c r="H34" s="21" t="str">
        <f>IF($C$5=0,"",COUNTIF('Respuestas PRE'!$U$7:$U$66,"E")/$C$5)</f>
        <v/>
      </c>
      <c r="I34" s="21" t="str">
        <f>IF($C$6=0,"",COUNTIF('Respuestas POST'!$Q$7:$Q$66,"E")/$C$6)</f>
        <v/>
      </c>
    </row>
    <row r="35" spans="1:9" x14ac:dyDescent="0.35">
      <c r="A35" s="13" t="str">
        <f>Clave!A14</f>
        <v>C9</v>
      </c>
      <c r="B35" s="3" t="str">
        <f>Clave!B14</f>
        <v>Profundidad de secuenciación</v>
      </c>
      <c r="C35" s="14" t="str">
        <f>Clave!D14</f>
        <v>A</v>
      </c>
      <c r="D35" s="14" t="str">
        <f>Clave!G14</f>
        <v>Sí</v>
      </c>
      <c r="E35" s="21" t="str">
        <f>IF($C$5=0,"",COUNTIF('Respuestas PRE'!$V$7:$V$66,C35)/$C$5)</f>
        <v/>
      </c>
      <c r="F35" s="21" t="str">
        <f>IF($C$6=0,"",COUNTIF('Respuestas POST'!$R$7:$R$66,C35)/$C$6)</f>
        <v/>
      </c>
      <c r="G35" s="25" t="str">
        <f t="shared" si="0"/>
        <v/>
      </c>
      <c r="H35" s="21" t="str">
        <f>IF($C$5=0,"",COUNTIF('Respuestas PRE'!$V$7:$V$66,"E")/$C$5)</f>
        <v/>
      </c>
      <c r="I35" s="21" t="str">
        <f>IF($C$6=0,"",COUNTIF('Respuestas POST'!$R$7:$R$66,"E")/$C$6)</f>
        <v/>
      </c>
    </row>
    <row r="36" spans="1:9" x14ac:dyDescent="0.35">
      <c r="A36" s="13" t="str">
        <f>Clave!A15</f>
        <v>C10</v>
      </c>
      <c r="B36" s="3" t="str">
        <f>Clave!B15</f>
        <v>Datos composicionales</v>
      </c>
      <c r="C36" s="14" t="str">
        <f>Clave!D15</f>
        <v>B</v>
      </c>
      <c r="D36" s="14" t="str">
        <f>Clave!G15</f>
        <v>Sí</v>
      </c>
      <c r="E36" s="21" t="str">
        <f>IF($C$5=0,"",COUNTIF('Respuestas PRE'!$W$7:$W$66,C36)/$C$5)</f>
        <v/>
      </c>
      <c r="F36" s="21" t="str">
        <f>IF($C$6=0,"",COUNTIF('Respuestas POST'!$S$7:$S$66,C36)/$C$6)</f>
        <v/>
      </c>
      <c r="G36" s="25" t="str">
        <f t="shared" si="0"/>
        <v/>
      </c>
      <c r="H36" s="21" t="str">
        <f>IF($C$5=0,"",COUNTIF('Respuestas PRE'!$W$7:$W$66,"E")/$C$5)</f>
        <v/>
      </c>
      <c r="I36" s="21" t="str">
        <f>IF($C$6=0,"",COUNTIF('Respuestas POST'!$S$7:$S$66,"E")/$C$6)</f>
        <v/>
      </c>
    </row>
    <row r="37" spans="1:9" x14ac:dyDescent="0.35">
      <c r="A37" s="13" t="str">
        <f>Clave!A16</f>
        <v>C11</v>
      </c>
      <c r="B37" s="3" t="str">
        <f>Clave!B16</f>
        <v>Comparaciones múltiples</v>
      </c>
      <c r="C37" s="14" t="str">
        <f>Clave!D16</f>
        <v>C</v>
      </c>
      <c r="D37" s="14" t="str">
        <f>Clave!G16</f>
        <v>Sí</v>
      </c>
      <c r="E37" s="21" t="str">
        <f>IF($C$5=0,"",COUNTIF('Respuestas PRE'!$X$7:$X$66,C37)/$C$5)</f>
        <v/>
      </c>
      <c r="F37" s="21" t="str">
        <f>IF($C$6=0,"",COUNTIF('Respuestas POST'!$T$7:$T$66,C37)/$C$6)</f>
        <v/>
      </c>
      <c r="G37" s="25" t="str">
        <f t="shared" si="0"/>
        <v/>
      </c>
      <c r="H37" s="21" t="str">
        <f>IF($C$5=0,"",COUNTIF('Respuestas PRE'!$X$7:$X$66,"E")/$C$5)</f>
        <v/>
      </c>
      <c r="I37" s="21" t="str">
        <f>IF($C$6=0,"",COUNTIF('Respuestas POST'!$T$7:$T$66,"E")/$C$6)</f>
        <v/>
      </c>
    </row>
    <row r="38" spans="1:9" x14ac:dyDescent="0.35">
      <c r="A38" s="13" t="str">
        <f>Clave!A17</f>
        <v>C12</v>
      </c>
      <c r="B38" s="3" t="str">
        <f>Clave!B17</f>
        <v>PERMANOVA y PERMDISP</v>
      </c>
      <c r="C38" s="14" t="str">
        <f>Clave!D17</f>
        <v>D</v>
      </c>
      <c r="D38" s="14" t="str">
        <f>Clave!G17</f>
        <v>Sí</v>
      </c>
      <c r="E38" s="21" t="str">
        <f>IF($C$5=0,"",COUNTIF('Respuestas PRE'!$Y$7:$Y$66,C38)/$C$5)</f>
        <v/>
      </c>
      <c r="F38" s="21" t="str">
        <f>IF($C$6=0,"",COUNTIF('Respuestas POST'!$U$7:$U$66,C38)/$C$6)</f>
        <v/>
      </c>
      <c r="G38" s="25" t="str">
        <f t="shared" si="0"/>
        <v/>
      </c>
      <c r="H38" s="21" t="str">
        <f>IF($C$5=0,"",COUNTIF('Respuestas PRE'!$Y$7:$Y$66,"E")/$C$5)</f>
        <v/>
      </c>
      <c r="I38" s="21" t="str">
        <f>IF($C$6=0,"",COUNTIF('Respuestas POST'!$U$7:$U$66,"E")/$C$6)</f>
        <v/>
      </c>
    </row>
    <row r="40" spans="1:9" ht="20" customHeight="1" x14ac:dyDescent="0.35">
      <c r="A40" s="30" t="s">
        <v>249</v>
      </c>
      <c r="B40" s="29"/>
      <c r="C40" s="29"/>
      <c r="D40" s="29"/>
      <c r="E40" s="29"/>
      <c r="F40" s="29"/>
      <c r="G40" s="29"/>
      <c r="H40" s="29"/>
      <c r="I40" s="29"/>
    </row>
    <row r="41" spans="1:9" ht="26" x14ac:dyDescent="0.35">
      <c r="A41" s="12" t="s">
        <v>168</v>
      </c>
      <c r="B41" s="12" t="s">
        <v>250</v>
      </c>
      <c r="C41" s="12" t="s">
        <v>251</v>
      </c>
      <c r="D41" s="12" t="s">
        <v>252</v>
      </c>
      <c r="E41" s="12" t="s">
        <v>253</v>
      </c>
    </row>
    <row r="42" spans="1:9" x14ac:dyDescent="0.35">
      <c r="A42" s="13" t="s">
        <v>44</v>
      </c>
      <c r="B42" s="3" t="s">
        <v>45</v>
      </c>
      <c r="C42" s="26" t="str">
        <f>IFERROR(AVERAGE('Respuestas PRE'!$F$7:$F$66),"")</f>
        <v/>
      </c>
      <c r="D42" s="26" t="str">
        <f>IFERROR(AVERAGE('Respuestas POST'!$B$7:$B$66),"")</f>
        <v/>
      </c>
      <c r="E42" s="27" t="str">
        <f t="shared" ref="E42:E49" si="1">IF(OR(C42="",D42=""),"",D42-C42)</f>
        <v/>
      </c>
    </row>
    <row r="43" spans="1:9" x14ac:dyDescent="0.35">
      <c r="A43" s="13" t="s">
        <v>46</v>
      </c>
      <c r="B43" s="3" t="s">
        <v>47</v>
      </c>
      <c r="C43" s="26" t="str">
        <f>IFERROR(AVERAGE('Respuestas PRE'!$G$7:$G$66),"")</f>
        <v/>
      </c>
      <c r="D43" s="26" t="str">
        <f>IFERROR(AVERAGE('Respuestas POST'!$C$7:$C$66),"")</f>
        <v/>
      </c>
      <c r="E43" s="27" t="str">
        <f t="shared" si="1"/>
        <v/>
      </c>
    </row>
    <row r="44" spans="1:9" ht="25" x14ac:dyDescent="0.35">
      <c r="A44" s="13" t="s">
        <v>48</v>
      </c>
      <c r="B44" s="3" t="s">
        <v>49</v>
      </c>
      <c r="C44" s="26" t="str">
        <f>IFERROR(AVERAGE('Respuestas PRE'!$H$7:$H$66),"")</f>
        <v/>
      </c>
      <c r="D44" s="26" t="str">
        <f>IFERROR(AVERAGE('Respuestas POST'!$D$7:$D$66),"")</f>
        <v/>
      </c>
      <c r="E44" s="27" t="str">
        <f t="shared" si="1"/>
        <v/>
      </c>
    </row>
    <row r="45" spans="1:9" x14ac:dyDescent="0.35">
      <c r="A45" s="13" t="s">
        <v>50</v>
      </c>
      <c r="B45" s="3" t="s">
        <v>51</v>
      </c>
      <c r="C45" s="26" t="str">
        <f>IFERROR(AVERAGE('Respuestas PRE'!$I$7:$I$66),"")</f>
        <v/>
      </c>
      <c r="D45" s="26" t="str">
        <f>IFERROR(AVERAGE('Respuestas POST'!$E$7:$E$66),"")</f>
        <v/>
      </c>
      <c r="E45" s="27" t="str">
        <f t="shared" si="1"/>
        <v/>
      </c>
    </row>
    <row r="46" spans="1:9" ht="25" x14ac:dyDescent="0.35">
      <c r="A46" s="13" t="s">
        <v>52</v>
      </c>
      <c r="B46" s="3" t="s">
        <v>53</v>
      </c>
      <c r="C46" s="26" t="str">
        <f>IFERROR(AVERAGE('Respuestas PRE'!$J$7:$J$66),"")</f>
        <v/>
      </c>
      <c r="D46" s="26" t="str">
        <f>IFERROR(AVERAGE('Respuestas POST'!$F$7:$F$66),"")</f>
        <v/>
      </c>
      <c r="E46" s="27" t="str">
        <f t="shared" si="1"/>
        <v/>
      </c>
    </row>
    <row r="47" spans="1:9" x14ac:dyDescent="0.35">
      <c r="A47" s="13" t="s">
        <v>54</v>
      </c>
      <c r="B47" s="3" t="s">
        <v>55</v>
      </c>
      <c r="C47" s="26" t="str">
        <f>IFERROR(AVERAGE('Respuestas PRE'!$K$7:$K$66),"")</f>
        <v/>
      </c>
      <c r="D47" s="26" t="str">
        <f>IFERROR(AVERAGE('Respuestas POST'!$G$7:$G$66),"")</f>
        <v/>
      </c>
      <c r="E47" s="27" t="str">
        <f t="shared" si="1"/>
        <v/>
      </c>
    </row>
    <row r="48" spans="1:9" x14ac:dyDescent="0.35">
      <c r="A48" s="13" t="s">
        <v>56</v>
      </c>
      <c r="B48" s="3" t="s">
        <v>57</v>
      </c>
      <c r="C48" s="26" t="str">
        <f>IFERROR(AVERAGE('Respuestas PRE'!$L$7:$L$66),"")</f>
        <v/>
      </c>
      <c r="D48" s="26" t="str">
        <f>IFERROR(AVERAGE('Respuestas POST'!$H$7:$H$66),"")</f>
        <v/>
      </c>
      <c r="E48" s="27" t="str">
        <f t="shared" si="1"/>
        <v/>
      </c>
    </row>
    <row r="49" spans="1:9" ht="25" x14ac:dyDescent="0.35">
      <c r="A49" s="13" t="s">
        <v>58</v>
      </c>
      <c r="B49" s="3" t="s">
        <v>59</v>
      </c>
      <c r="C49" s="26" t="str">
        <f>IFERROR(AVERAGE('Respuestas PRE'!$M$7:$M$66),"")</f>
        <v/>
      </c>
      <c r="D49" s="26" t="str">
        <f>IFERROR(AVERAGE('Respuestas POST'!$I$7:$I$66),"")</f>
        <v/>
      </c>
      <c r="E49" s="27" t="str">
        <f t="shared" si="1"/>
        <v/>
      </c>
    </row>
    <row r="51" spans="1:9" ht="20" customHeight="1" x14ac:dyDescent="0.35">
      <c r="A51" s="30" t="s">
        <v>254</v>
      </c>
      <c r="B51" s="29"/>
      <c r="C51" s="29"/>
      <c r="D51" s="29"/>
      <c r="E51" s="29"/>
      <c r="F51" s="29"/>
      <c r="G51" s="29"/>
      <c r="H51" s="29"/>
      <c r="I51" s="29"/>
    </row>
    <row r="52" spans="1:9" ht="30" customHeight="1" x14ac:dyDescent="0.35">
      <c r="A52" s="12" t="s">
        <v>168</v>
      </c>
      <c r="B52" s="12" t="s">
        <v>250</v>
      </c>
      <c r="C52" s="12" t="s">
        <v>255</v>
      </c>
      <c r="D52" s="12" t="s">
        <v>256</v>
      </c>
    </row>
    <row r="53" spans="1:9" ht="15" customHeight="1" x14ac:dyDescent="0.35">
      <c r="A53" s="13" t="s">
        <v>137</v>
      </c>
      <c r="B53" s="3" t="s">
        <v>138</v>
      </c>
      <c r="C53" s="26" t="str">
        <f>IFERROR(AVERAGE('Respuestas POST'!$V$7:$V$66),"")</f>
        <v/>
      </c>
      <c r="D53" s="21" t="str">
        <f>IF(COUNT('Respuestas POST'!$V$7:$V$66)=0,"",COUNTIF('Respuestas POST'!$V$7:$V$66,"&gt;=4")/COUNT('Respuestas POST'!$V$7:$V$66))</f>
        <v/>
      </c>
    </row>
    <row r="54" spans="1:9" ht="15" customHeight="1" x14ac:dyDescent="0.35">
      <c r="A54" s="13" t="s">
        <v>139</v>
      </c>
      <c r="B54" s="3" t="s">
        <v>140</v>
      </c>
      <c r="C54" s="26" t="str">
        <f>IFERROR(AVERAGE('Respuestas POST'!$W$7:$W$66),"")</f>
        <v/>
      </c>
      <c r="D54" s="21" t="str">
        <f>IF(COUNT('Respuestas POST'!$W$7:$W$66)=0,"",COUNTIF('Respuestas POST'!$W$7:$W$66,"&gt;=4")/COUNT('Respuestas POST'!$W$7:$W$66))</f>
        <v/>
      </c>
    </row>
    <row r="55" spans="1:9" ht="28" customHeight="1" x14ac:dyDescent="0.35">
      <c r="A55" s="13" t="s">
        <v>141</v>
      </c>
      <c r="B55" s="3" t="s">
        <v>142</v>
      </c>
      <c r="C55" s="26" t="str">
        <f>IFERROR(AVERAGE('Respuestas POST'!$X$7:$X$66),"")</f>
        <v/>
      </c>
      <c r="D55" s="21" t="str">
        <f>IF(COUNT('Respuestas POST'!$X$7:$X$66)=0,"",COUNTIF('Respuestas POST'!$X$7:$X$66,"&gt;=4")/COUNT('Respuestas POST'!$X$7:$X$66))</f>
        <v/>
      </c>
    </row>
    <row r="56" spans="1:9" ht="28" customHeight="1" x14ac:dyDescent="0.35">
      <c r="A56" s="13" t="s">
        <v>143</v>
      </c>
      <c r="B56" s="3" t="s">
        <v>144</v>
      </c>
      <c r="C56" s="26" t="str">
        <f>IFERROR(AVERAGE('Respuestas POST'!$Y$7:$Y$66),"")</f>
        <v/>
      </c>
      <c r="D56" s="21" t="str">
        <f>IF(COUNT('Respuestas POST'!$Y$7:$Y$66)=0,"",COUNTIF('Respuestas POST'!$Y$7:$Y$66,"&gt;=4")/COUNT('Respuestas POST'!$Y$7:$Y$66))</f>
        <v/>
      </c>
    </row>
    <row r="57" spans="1:9" ht="28" customHeight="1" x14ac:dyDescent="0.35">
      <c r="A57" s="13" t="s">
        <v>145</v>
      </c>
      <c r="B57" s="3" t="s">
        <v>146</v>
      </c>
      <c r="C57" s="26" t="str">
        <f>IFERROR(AVERAGE('Respuestas POST'!$Z$7:$Z$66),"")</f>
        <v/>
      </c>
      <c r="D57" s="21" t="str">
        <f>IF(COUNT('Respuestas POST'!$Z$7:$Z$66)=0,"",COUNTIF('Respuestas POST'!$Z$7:$Z$66,"&gt;=4")/COUNT('Respuestas POST'!$Z$7:$Z$66))</f>
        <v/>
      </c>
    </row>
    <row r="58" spans="1:9" ht="28" customHeight="1" x14ac:dyDescent="0.35">
      <c r="A58" s="13" t="s">
        <v>147</v>
      </c>
      <c r="B58" s="3" t="s">
        <v>148</v>
      </c>
      <c r="C58" s="26" t="str">
        <f>IFERROR(AVERAGE('Respuestas POST'!$AA$7:$AA$66),"")</f>
        <v/>
      </c>
      <c r="D58" s="21" t="str">
        <f>IF(COUNT('Respuestas POST'!$AA$7:$AA$66)=0,"",COUNTIF('Respuestas POST'!$AA$7:$AA$66,"&gt;=4")/COUNT('Respuestas POST'!$AA$7:$AA$66))</f>
        <v/>
      </c>
    </row>
    <row r="59" spans="1:9" ht="15" customHeight="1" x14ac:dyDescent="0.35">
      <c r="A59" s="13" t="s">
        <v>149</v>
      </c>
      <c r="B59" s="3" t="s">
        <v>150</v>
      </c>
      <c r="C59" s="26" t="str">
        <f>IFERROR(AVERAGE('Respuestas POST'!$AB$7:$AB$66),"")</f>
        <v/>
      </c>
      <c r="D59" s="21" t="str">
        <f>IF(COUNT('Respuestas POST'!$AB$7:$AB$66)=0,"",COUNTIF('Respuestas POST'!$AB$7:$AB$66,"&gt;=4")/COUNT('Respuestas POST'!$AB$7:$AB$66))</f>
        <v/>
      </c>
    </row>
    <row r="60" spans="1:9" ht="15" customHeight="1" x14ac:dyDescent="0.35">
      <c r="A60" s="13" t="s">
        <v>151</v>
      </c>
      <c r="B60" s="3" t="s">
        <v>152</v>
      </c>
      <c r="C60" s="26" t="str">
        <f>IFERROR(AVERAGE('Respuestas POST'!$AC$7:$AC$66),"")</f>
        <v/>
      </c>
      <c r="D60" s="21" t="str">
        <f>IF(COUNT('Respuestas POST'!$AC$7:$AC$66)=0,"",COUNTIF('Respuestas POST'!$AC$7:$AC$66,"&gt;=4")/COUNT('Respuestas POST'!$AC$7:$AC$66))</f>
        <v/>
      </c>
    </row>
    <row r="61" spans="1:9" ht="15" customHeight="1" x14ac:dyDescent="0.35">
      <c r="A61" s="13" t="s">
        <v>153</v>
      </c>
      <c r="B61" s="3" t="s">
        <v>154</v>
      </c>
      <c r="C61" s="26" t="str">
        <f>IFERROR(AVERAGE('Respuestas POST'!$AD$7:$AD$66),"")</f>
        <v/>
      </c>
      <c r="D61" s="21" t="str">
        <f>IF(COUNT('Respuestas POST'!$AD$7:$AD$66)=0,"",COUNTIF('Respuestas POST'!$AD$7:$AD$66,"&gt;=4")/COUNT('Respuestas POST'!$AD$7:$AD$66))</f>
        <v/>
      </c>
    </row>
    <row r="62" spans="1:9" ht="15" customHeight="1" x14ac:dyDescent="0.35">
      <c r="A62" s="13" t="s">
        <v>155</v>
      </c>
      <c r="B62" s="3" t="s">
        <v>156</v>
      </c>
      <c r="C62" s="26" t="str">
        <f>IFERROR(AVERAGE('Respuestas POST'!$AE$7:$AE$66),"")</f>
        <v/>
      </c>
      <c r="D62" s="21" t="str">
        <f>IF(COUNT('Respuestas POST'!$AE$7:$AE$66)=0,"",COUNTIF('Respuestas POST'!$AE$7:$AE$66,"&gt;=4")/COUNT('Respuestas POST'!$AE$7:$AE$66))</f>
        <v/>
      </c>
    </row>
    <row r="64" spans="1:9" x14ac:dyDescent="0.35">
      <c r="A64" s="31" t="s">
        <v>257</v>
      </c>
      <c r="B64" s="29"/>
      <c r="C64" s="29"/>
      <c r="D64" s="29"/>
      <c r="E64" s="29"/>
      <c r="F64" s="29"/>
      <c r="G64" s="29"/>
      <c r="H64" s="29"/>
      <c r="I64" s="29"/>
    </row>
  </sheetData>
  <mergeCells count="24">
    <mergeCell ref="A64:I64"/>
    <mergeCell ref="A20:B20"/>
    <mergeCell ref="A51:I51"/>
    <mergeCell ref="A10:B10"/>
    <mergeCell ref="A1:I1"/>
    <mergeCell ref="A13:B13"/>
    <mergeCell ref="A40:I40"/>
    <mergeCell ref="A9:I9"/>
    <mergeCell ref="A14:B14"/>
    <mergeCell ref="A17:B17"/>
    <mergeCell ref="A23:B23"/>
    <mergeCell ref="A22:B22"/>
    <mergeCell ref="A2:I2"/>
    <mergeCell ref="A7:B7"/>
    <mergeCell ref="A4:I4"/>
    <mergeCell ref="A12:B12"/>
    <mergeCell ref="A21:B21"/>
    <mergeCell ref="A19:I19"/>
    <mergeCell ref="A5:B5"/>
    <mergeCell ref="A25:I25"/>
    <mergeCell ref="A15:B15"/>
    <mergeCell ref="A11:B11"/>
    <mergeCell ref="A6:B6"/>
    <mergeCell ref="A16:B1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Encuesta PRE</vt:lpstr>
      <vt:lpstr>Encuesta POST</vt:lpstr>
      <vt:lpstr>Clave</vt:lpstr>
      <vt:lpstr>Respuestas PRE</vt:lpstr>
      <vt:lpstr>Respuestas POST</vt:lpstr>
      <vt:lpstr>Resultados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SILVA GOMEZ</cp:lastModifiedBy>
  <dcterms:created xsi:type="dcterms:W3CDTF">2026-10-08T02:48:37Z</dcterms:created>
  <dcterms:modified xsi:type="dcterms:W3CDTF">2026-10-08T02:49:44Z</dcterms:modified>
</cp:coreProperties>
</file>